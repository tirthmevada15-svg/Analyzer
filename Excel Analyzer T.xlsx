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DD80271E-9D45-4B92-9F00-32134A1681EA}" xr6:coauthVersionLast="47" xr6:coauthVersionMax="47" xr10:uidLastSave="{00000000-0000-0000-0000-000000000000}"/>
  <bookViews>
    <workbookView xWindow="-108" yWindow="-108" windowWidth="23256" windowHeight="12456" tabRatio="826" activeTab="7" xr2:uid="{00000000-000D-0000-FFFF-FFFF00000000}"/>
  </bookViews>
  <sheets>
    <sheet name="Project Instructions" sheetId="1" r:id="rId1"/>
    <sheet name="Dataset" sheetId="2" r:id="rId2"/>
    <sheet name="Regression" sheetId="3" r:id="rId3"/>
    <sheet name="Descriptive Statistics" sheetId="4" r:id="rId4"/>
    <sheet name="Region" sheetId="5" r:id="rId5"/>
    <sheet name="Product" sheetId="6" r:id="rId6"/>
    <sheet name="Date" sheetId="7" r:id="rId7"/>
    <sheet name="Dashboard" sheetId="9" r:id="rId8"/>
  </sheets>
  <definedNames>
    <definedName name="_xlnm._FilterDatabase" localSheetId="1" hidden="1">Dataset!$A$1:$L$201</definedName>
    <definedName name="Slicer_Months__Order_Date">#N/A</definedName>
    <definedName name="Slicer_Order_Date">#N/A</definedName>
    <definedName name="Slicer_Product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99" i="2" l="1"/>
  <c r="L142" i="2"/>
  <c r="P2" i="2"/>
  <c r="F20" i="7"/>
  <c r="L35" i="2" l="1"/>
  <c r="L31" i="2"/>
  <c r="L121" i="2"/>
  <c r="L93" i="2"/>
  <c r="L162" i="2"/>
  <c r="L74" i="2"/>
  <c r="L60" i="2"/>
  <c r="L14" i="2"/>
  <c r="L111" i="2"/>
  <c r="L177" i="2"/>
  <c r="L166" i="2"/>
  <c r="L65" i="2"/>
  <c r="L94" i="2"/>
  <c r="L188" i="2"/>
  <c r="L106" i="2"/>
  <c r="L29" i="2"/>
  <c r="L183" i="2"/>
  <c r="L30" i="2"/>
  <c r="L125" i="2"/>
  <c r="L57" i="2"/>
  <c r="L76" i="2"/>
  <c r="L45" i="2"/>
  <c r="L85" i="2"/>
  <c r="L189" i="2"/>
  <c r="L136" i="2"/>
  <c r="L18" i="2"/>
  <c r="L176" i="2"/>
  <c r="L26" i="2"/>
  <c r="L83" i="2"/>
  <c r="L173" i="2"/>
  <c r="L46" i="2"/>
  <c r="L113" i="2"/>
  <c r="L167" i="2"/>
  <c r="L63" i="2"/>
  <c r="L91" i="2"/>
  <c r="L156" i="2"/>
  <c r="L118" i="2"/>
  <c r="L131" i="2"/>
  <c r="L171" i="2"/>
  <c r="L55" i="2"/>
  <c r="L70" i="2"/>
  <c r="L165" i="2"/>
  <c r="L152" i="2"/>
  <c r="L15" i="2"/>
  <c r="L114" i="2"/>
  <c r="L141" i="2"/>
  <c r="L194" i="2"/>
  <c r="L51" i="2"/>
  <c r="L71" i="2"/>
  <c r="L104" i="2"/>
  <c r="L23" i="2"/>
  <c r="L168" i="2"/>
  <c r="L143" i="2"/>
  <c r="L108" i="2"/>
  <c r="L128" i="2"/>
  <c r="L8" i="2"/>
  <c r="L27" i="2"/>
  <c r="L198" i="2"/>
  <c r="L132" i="2"/>
  <c r="L49" i="2"/>
  <c r="L163" i="2"/>
  <c r="L170" i="2"/>
  <c r="L58" i="2"/>
  <c r="L158" i="2"/>
  <c r="L126" i="2"/>
  <c r="L79" i="2"/>
  <c r="L134" i="2"/>
  <c r="L10" i="2"/>
  <c r="L3" i="2"/>
  <c r="L175" i="2"/>
  <c r="L56" i="2"/>
  <c r="L42" i="2"/>
  <c r="L184" i="2"/>
  <c r="L69" i="2"/>
  <c r="L40" i="2"/>
  <c r="L38" i="2"/>
  <c r="L12" i="2"/>
  <c r="L199" i="2"/>
  <c r="L145" i="2"/>
  <c r="L181" i="2"/>
  <c r="L61" i="2"/>
  <c r="L89" i="2"/>
  <c r="L52" i="2"/>
  <c r="L195" i="2"/>
  <c r="L95" i="2"/>
  <c r="L201" i="2"/>
  <c r="L144" i="2"/>
  <c r="L185" i="2"/>
  <c r="L50" i="2"/>
  <c r="L7" i="2"/>
  <c r="L135" i="2"/>
  <c r="L191" i="2"/>
  <c r="L19" i="2"/>
  <c r="L59" i="2"/>
  <c r="L101" i="2"/>
  <c r="L148" i="2"/>
  <c r="L102" i="2"/>
  <c r="L129" i="2"/>
  <c r="L117" i="2"/>
  <c r="L98" i="2"/>
  <c r="L147" i="2"/>
  <c r="L161" i="2"/>
  <c r="L123" i="2"/>
  <c r="L92" i="2"/>
  <c r="L187" i="2"/>
  <c r="L172" i="2"/>
  <c r="L122" i="2"/>
  <c r="L107" i="2"/>
  <c r="L160" i="2"/>
  <c r="L139" i="2"/>
  <c r="L13" i="2"/>
  <c r="L9" i="2"/>
  <c r="L4" i="2"/>
  <c r="L124" i="2"/>
  <c r="L54" i="2"/>
  <c r="L151" i="2"/>
  <c r="L20" i="2"/>
  <c r="L41" i="2"/>
  <c r="L33" i="2"/>
  <c r="L67" i="2"/>
  <c r="L120" i="2"/>
  <c r="L119" i="2"/>
  <c r="L197" i="2"/>
  <c r="L6" i="2"/>
  <c r="L190" i="2"/>
  <c r="L149" i="2"/>
  <c r="L39" i="2"/>
  <c r="L53" i="2"/>
  <c r="L68" i="2"/>
  <c r="L109" i="2"/>
  <c r="L78" i="2"/>
  <c r="L11" i="2"/>
  <c r="L169" i="2"/>
  <c r="L28" i="2"/>
  <c r="L34" i="2"/>
  <c r="L43" i="2"/>
  <c r="L155" i="2"/>
  <c r="L196" i="2"/>
  <c r="L154" i="2"/>
  <c r="L133" i="2"/>
  <c r="L192" i="2"/>
  <c r="L73" i="2"/>
  <c r="L112" i="2"/>
  <c r="L48" i="2"/>
  <c r="L178" i="2"/>
  <c r="L84" i="2"/>
  <c r="L2" i="2"/>
  <c r="L164" i="2"/>
  <c r="L86" i="2"/>
  <c r="L47" i="2"/>
  <c r="L157" i="2"/>
  <c r="L193" i="2"/>
  <c r="L137" i="2"/>
  <c r="L103" i="2"/>
  <c r="L37" i="2"/>
  <c r="L22" i="2"/>
  <c r="L105" i="2"/>
  <c r="L77" i="2"/>
  <c r="L182" i="2"/>
  <c r="L82" i="2"/>
  <c r="L116" i="2"/>
  <c r="L62" i="2"/>
  <c r="L115" i="2"/>
  <c r="L66" i="2"/>
  <c r="L140" i="2"/>
  <c r="L96" i="2"/>
  <c r="L130" i="2"/>
  <c r="L159" i="2"/>
  <c r="L36" i="2"/>
  <c r="L32" i="2"/>
  <c r="L25" i="2"/>
  <c r="L127" i="2"/>
  <c r="L180" i="2"/>
  <c r="L21" i="2"/>
  <c r="L153" i="2"/>
  <c r="L100" i="2"/>
  <c r="L75" i="2"/>
  <c r="L64" i="2"/>
  <c r="L88" i="2"/>
  <c r="L179" i="2"/>
  <c r="L97" i="2"/>
  <c r="L16" i="2"/>
  <c r="L150" i="2"/>
  <c r="L200" i="2"/>
  <c r="L72" i="2"/>
  <c r="L5" i="2"/>
  <c r="L81" i="2"/>
  <c r="L146" i="2"/>
  <c r="L80" i="2"/>
  <c r="L90" i="2"/>
  <c r="L186" i="2"/>
  <c r="L174" i="2"/>
  <c r="L87" i="2"/>
  <c r="L138" i="2"/>
  <c r="L24" i="2"/>
  <c r="L110" i="2"/>
  <c r="L99" i="2"/>
  <c r="L17" i="2"/>
  <c r="L44" i="2"/>
  <c r="P23" i="2"/>
  <c r="P24" i="2"/>
  <c r="P25" i="2"/>
  <c r="P26" i="2"/>
  <c r="P27" i="2"/>
  <c r="P28" i="2"/>
  <c r="P29" i="2"/>
  <c r="P30" i="2"/>
  <c r="P31" i="2"/>
  <c r="P21" i="2"/>
  <c r="P22" i="2"/>
  <c r="P20" i="2"/>
  <c r="K44" i="2"/>
  <c r="K35" i="2"/>
  <c r="K142" i="2"/>
  <c r="K31" i="2"/>
  <c r="K121" i="2"/>
  <c r="K93" i="2"/>
  <c r="K162" i="2"/>
  <c r="K74" i="2"/>
  <c r="K60" i="2"/>
  <c r="K14" i="2"/>
  <c r="K111" i="2"/>
  <c r="K177" i="2"/>
  <c r="K166" i="2"/>
  <c r="K65" i="2"/>
  <c r="K94" i="2"/>
  <c r="K188" i="2"/>
  <c r="K106" i="2"/>
  <c r="K29" i="2"/>
  <c r="K183" i="2"/>
  <c r="K30" i="2"/>
  <c r="K125" i="2"/>
  <c r="K57" i="2"/>
  <c r="K76" i="2"/>
  <c r="K45" i="2"/>
  <c r="K85" i="2"/>
  <c r="K189" i="2"/>
  <c r="K136" i="2"/>
  <c r="K18" i="2"/>
  <c r="K176" i="2"/>
  <c r="K26" i="2"/>
  <c r="K83" i="2"/>
  <c r="K173" i="2"/>
  <c r="K46" i="2"/>
  <c r="K113" i="2"/>
  <c r="K167" i="2"/>
  <c r="K63" i="2"/>
  <c r="K91" i="2"/>
  <c r="K156" i="2"/>
  <c r="K118" i="2"/>
  <c r="K131" i="2"/>
  <c r="K171" i="2"/>
  <c r="K55" i="2"/>
  <c r="K70" i="2"/>
  <c r="K165" i="2"/>
  <c r="K152" i="2"/>
  <c r="K15" i="2"/>
  <c r="K114" i="2"/>
  <c r="K141" i="2"/>
  <c r="K194" i="2"/>
  <c r="K51" i="2"/>
  <c r="K71" i="2"/>
  <c r="K104" i="2"/>
  <c r="K23" i="2"/>
  <c r="K168" i="2"/>
  <c r="K143" i="2"/>
  <c r="K108" i="2"/>
  <c r="K128" i="2"/>
  <c r="K8" i="2"/>
  <c r="K27" i="2"/>
  <c r="K198" i="2"/>
  <c r="K132" i="2"/>
  <c r="K49" i="2"/>
  <c r="K163" i="2"/>
  <c r="K170" i="2"/>
  <c r="K58" i="2"/>
  <c r="K158" i="2"/>
  <c r="K126" i="2"/>
  <c r="K79" i="2"/>
  <c r="K134" i="2"/>
  <c r="K10" i="2"/>
  <c r="K3" i="2"/>
  <c r="K175" i="2"/>
  <c r="K56" i="2"/>
  <c r="K42" i="2"/>
  <c r="K184" i="2"/>
  <c r="K69" i="2"/>
  <c r="K40" i="2"/>
  <c r="K38" i="2"/>
  <c r="K12" i="2"/>
  <c r="K145" i="2"/>
  <c r="K181" i="2"/>
  <c r="K61" i="2"/>
  <c r="K89" i="2"/>
  <c r="K52" i="2"/>
  <c r="K195" i="2"/>
  <c r="K95" i="2"/>
  <c r="K201" i="2"/>
  <c r="K144" i="2"/>
  <c r="K185" i="2"/>
  <c r="K50" i="2"/>
  <c r="K7" i="2"/>
  <c r="K135" i="2"/>
  <c r="K191" i="2"/>
  <c r="K19" i="2"/>
  <c r="K59" i="2"/>
  <c r="K101" i="2"/>
  <c r="K148" i="2"/>
  <c r="K102" i="2"/>
  <c r="K129" i="2"/>
  <c r="K117" i="2"/>
  <c r="K98" i="2"/>
  <c r="K147" i="2"/>
  <c r="K161" i="2"/>
  <c r="K123" i="2"/>
  <c r="K92" i="2"/>
  <c r="K187" i="2"/>
  <c r="K172" i="2"/>
  <c r="K122" i="2"/>
  <c r="K107" i="2"/>
  <c r="K160" i="2"/>
  <c r="K139" i="2"/>
  <c r="K13" i="2"/>
  <c r="K9" i="2"/>
  <c r="K4" i="2"/>
  <c r="K124" i="2"/>
  <c r="K54" i="2"/>
  <c r="K151" i="2"/>
  <c r="K20" i="2"/>
  <c r="K41" i="2"/>
  <c r="K33" i="2"/>
  <c r="K67" i="2"/>
  <c r="K120" i="2"/>
  <c r="K119" i="2"/>
  <c r="K197" i="2"/>
  <c r="K6" i="2"/>
  <c r="K190" i="2"/>
  <c r="K149" i="2"/>
  <c r="K39" i="2"/>
  <c r="K53" i="2"/>
  <c r="K68" i="2"/>
  <c r="K109" i="2"/>
  <c r="K78" i="2"/>
  <c r="K11" i="2"/>
  <c r="K169" i="2"/>
  <c r="K28" i="2"/>
  <c r="K34" i="2"/>
  <c r="K43" i="2"/>
  <c r="K155" i="2"/>
  <c r="K196" i="2"/>
  <c r="K154" i="2"/>
  <c r="K133" i="2"/>
  <c r="K192" i="2"/>
  <c r="K73" i="2"/>
  <c r="K112" i="2"/>
  <c r="K48" i="2"/>
  <c r="K178" i="2"/>
  <c r="K84" i="2"/>
  <c r="K2" i="2"/>
  <c r="K164" i="2"/>
  <c r="K86" i="2"/>
  <c r="K47" i="2"/>
  <c r="K157" i="2"/>
  <c r="K193" i="2"/>
  <c r="K137" i="2"/>
  <c r="K103" i="2"/>
  <c r="K37" i="2"/>
  <c r="K22" i="2"/>
  <c r="K105" i="2"/>
  <c r="K77" i="2"/>
  <c r="K182" i="2"/>
  <c r="K82" i="2"/>
  <c r="K116" i="2"/>
  <c r="K62" i="2"/>
  <c r="K115" i="2"/>
  <c r="K66" i="2"/>
  <c r="K140" i="2"/>
  <c r="K96" i="2"/>
  <c r="K130" i="2"/>
  <c r="K159" i="2"/>
  <c r="K36" i="2"/>
  <c r="K32" i="2"/>
  <c r="K25" i="2"/>
  <c r="K127" i="2"/>
  <c r="K180" i="2"/>
  <c r="K21" i="2"/>
  <c r="K153" i="2"/>
  <c r="K100" i="2"/>
  <c r="K75" i="2"/>
  <c r="K64" i="2"/>
  <c r="K88" i="2"/>
  <c r="K179" i="2"/>
  <c r="K97" i="2"/>
  <c r="K16" i="2"/>
  <c r="K150" i="2"/>
  <c r="K200" i="2"/>
  <c r="K72" i="2"/>
  <c r="K5" i="2"/>
  <c r="K81" i="2"/>
  <c r="K146" i="2"/>
  <c r="K80" i="2"/>
  <c r="K90" i="2"/>
  <c r="K186" i="2"/>
  <c r="K174" i="2"/>
  <c r="K87" i="2"/>
  <c r="K138" i="2"/>
  <c r="K24" i="2"/>
  <c r="K110" i="2"/>
  <c r="K99" i="2"/>
  <c r="K17" i="2"/>
  <c r="G35" i="2"/>
  <c r="G142" i="2"/>
  <c r="G31" i="2"/>
  <c r="G121" i="2"/>
  <c r="G93" i="2"/>
  <c r="G162" i="2"/>
  <c r="G74" i="2"/>
  <c r="G60" i="2"/>
  <c r="G14" i="2"/>
  <c r="G111" i="2"/>
  <c r="G177" i="2"/>
  <c r="G166" i="2"/>
  <c r="G65" i="2"/>
  <c r="G94" i="2"/>
  <c r="G188" i="2"/>
  <c r="G106" i="2"/>
  <c r="G29" i="2"/>
  <c r="G183" i="2"/>
  <c r="G30" i="2"/>
  <c r="G125" i="2"/>
  <c r="G57" i="2"/>
  <c r="G76" i="2"/>
  <c r="G45" i="2"/>
  <c r="G85" i="2"/>
  <c r="G189" i="2"/>
  <c r="G136" i="2"/>
  <c r="G18" i="2"/>
  <c r="G176" i="2"/>
  <c r="G26" i="2"/>
  <c r="G83" i="2"/>
  <c r="G173" i="2"/>
  <c r="G46" i="2"/>
  <c r="G113" i="2"/>
  <c r="G167" i="2"/>
  <c r="G63" i="2"/>
  <c r="G91" i="2"/>
  <c r="G156" i="2"/>
  <c r="G118" i="2"/>
  <c r="G131" i="2"/>
  <c r="G171" i="2"/>
  <c r="G55" i="2"/>
  <c r="G70" i="2"/>
  <c r="G165" i="2"/>
  <c r="G152" i="2"/>
  <c r="G15" i="2"/>
  <c r="G114" i="2"/>
  <c r="G141" i="2"/>
  <c r="G194" i="2"/>
  <c r="G51" i="2"/>
  <c r="G71" i="2"/>
  <c r="G104" i="2"/>
  <c r="G23" i="2"/>
  <c r="G168" i="2"/>
  <c r="G143" i="2"/>
  <c r="G108" i="2"/>
  <c r="G128" i="2"/>
  <c r="G8" i="2"/>
  <c r="G27" i="2"/>
  <c r="G198" i="2"/>
  <c r="G132" i="2"/>
  <c r="G49" i="2"/>
  <c r="G163" i="2"/>
  <c r="G170" i="2"/>
  <c r="G58" i="2"/>
  <c r="G158" i="2"/>
  <c r="G126" i="2"/>
  <c r="G79" i="2"/>
  <c r="G134" i="2"/>
  <c r="G10" i="2"/>
  <c r="G3" i="2"/>
  <c r="G175" i="2"/>
  <c r="G56" i="2"/>
  <c r="G42" i="2"/>
  <c r="G184" i="2"/>
  <c r="G69" i="2"/>
  <c r="G40" i="2"/>
  <c r="G38" i="2"/>
  <c r="G12" i="2"/>
  <c r="G199" i="2"/>
  <c r="G145" i="2"/>
  <c r="G181" i="2"/>
  <c r="G61" i="2"/>
  <c r="G89" i="2"/>
  <c r="G52" i="2"/>
  <c r="G195" i="2"/>
  <c r="G95" i="2"/>
  <c r="G201" i="2"/>
  <c r="G144" i="2"/>
  <c r="G185" i="2"/>
  <c r="G50" i="2"/>
  <c r="G7" i="2"/>
  <c r="G135" i="2"/>
  <c r="G191" i="2"/>
  <c r="G19" i="2"/>
  <c r="G59" i="2"/>
  <c r="G101" i="2"/>
  <c r="G148" i="2"/>
  <c r="G102" i="2"/>
  <c r="G129" i="2"/>
  <c r="G117" i="2"/>
  <c r="G98" i="2"/>
  <c r="G147" i="2"/>
  <c r="G161" i="2"/>
  <c r="G123" i="2"/>
  <c r="G92" i="2"/>
  <c r="G187" i="2"/>
  <c r="G172" i="2"/>
  <c r="G122" i="2"/>
  <c r="G107" i="2"/>
  <c r="G160" i="2"/>
  <c r="G139" i="2"/>
  <c r="G13" i="2"/>
  <c r="G9" i="2"/>
  <c r="G4" i="2"/>
  <c r="G124" i="2"/>
  <c r="G54" i="2"/>
  <c r="G151" i="2"/>
  <c r="G20" i="2"/>
  <c r="G41" i="2"/>
  <c r="G33" i="2"/>
  <c r="G67" i="2"/>
  <c r="G120" i="2"/>
  <c r="G119" i="2"/>
  <c r="G197" i="2"/>
  <c r="G6" i="2"/>
  <c r="G190" i="2"/>
  <c r="G149" i="2"/>
  <c r="G39" i="2"/>
  <c r="G53" i="2"/>
  <c r="G68" i="2"/>
  <c r="G109" i="2"/>
  <c r="G78" i="2"/>
  <c r="G11" i="2"/>
  <c r="G169" i="2"/>
  <c r="G28" i="2"/>
  <c r="G34" i="2"/>
  <c r="G43" i="2"/>
  <c r="G155" i="2"/>
  <c r="G196" i="2"/>
  <c r="G154" i="2"/>
  <c r="G133" i="2"/>
  <c r="G192" i="2"/>
  <c r="G73" i="2"/>
  <c r="G112" i="2"/>
  <c r="G48" i="2"/>
  <c r="G178" i="2"/>
  <c r="G84" i="2"/>
  <c r="G2" i="2"/>
  <c r="G164" i="2"/>
  <c r="G86" i="2"/>
  <c r="G47" i="2"/>
  <c r="G157" i="2"/>
  <c r="G193" i="2"/>
  <c r="G137" i="2"/>
  <c r="G103" i="2"/>
  <c r="G37" i="2"/>
  <c r="G22" i="2"/>
  <c r="G105" i="2"/>
  <c r="G77" i="2"/>
  <c r="G182" i="2"/>
  <c r="G82" i="2"/>
  <c r="G116" i="2"/>
  <c r="G62" i="2"/>
  <c r="G115" i="2"/>
  <c r="G66" i="2"/>
  <c r="G140" i="2"/>
  <c r="G96" i="2"/>
  <c r="G130" i="2"/>
  <c r="G159" i="2"/>
  <c r="G36" i="2"/>
  <c r="G32" i="2"/>
  <c r="G25" i="2"/>
  <c r="G127" i="2"/>
  <c r="G180" i="2"/>
  <c r="G21" i="2"/>
  <c r="G153" i="2"/>
  <c r="G100" i="2"/>
  <c r="G75" i="2"/>
  <c r="G64" i="2"/>
  <c r="G88" i="2"/>
  <c r="G179" i="2"/>
  <c r="G97" i="2"/>
  <c r="G16" i="2"/>
  <c r="G150" i="2"/>
  <c r="G200" i="2"/>
  <c r="G72" i="2"/>
  <c r="G5" i="2"/>
  <c r="G81" i="2"/>
  <c r="G146" i="2"/>
  <c r="G80" i="2"/>
  <c r="G90" i="2"/>
  <c r="G186" i="2"/>
  <c r="G174" i="2"/>
  <c r="G87" i="2"/>
  <c r="G138" i="2"/>
  <c r="G24" i="2"/>
  <c r="G110" i="2"/>
  <c r="G99" i="2"/>
  <c r="G17" i="2"/>
  <c r="G44" i="2"/>
  <c r="J35" i="2"/>
  <c r="J142" i="2"/>
  <c r="J31" i="2"/>
  <c r="J121" i="2"/>
  <c r="J93" i="2"/>
  <c r="J162" i="2"/>
  <c r="J74" i="2"/>
  <c r="J60" i="2"/>
  <c r="J14" i="2"/>
  <c r="J111" i="2"/>
  <c r="J177" i="2"/>
  <c r="J166" i="2"/>
  <c r="J65" i="2"/>
  <c r="J94" i="2"/>
  <c r="J188" i="2"/>
  <c r="J106" i="2"/>
  <c r="J29" i="2"/>
  <c r="J183" i="2"/>
  <c r="J30" i="2"/>
  <c r="J125" i="2"/>
  <c r="J57" i="2"/>
  <c r="J76" i="2"/>
  <c r="J45" i="2"/>
  <c r="J85" i="2"/>
  <c r="J189" i="2"/>
  <c r="J136" i="2"/>
  <c r="J18" i="2"/>
  <c r="J176" i="2"/>
  <c r="J26" i="2"/>
  <c r="J83" i="2"/>
  <c r="J173" i="2"/>
  <c r="J46" i="2"/>
  <c r="J113" i="2"/>
  <c r="J167" i="2"/>
  <c r="J63" i="2"/>
  <c r="J91" i="2"/>
  <c r="J156" i="2"/>
  <c r="J118" i="2"/>
  <c r="J131" i="2"/>
  <c r="J171" i="2"/>
  <c r="J55" i="2"/>
  <c r="J70" i="2"/>
  <c r="J165" i="2"/>
  <c r="J152" i="2"/>
  <c r="J15" i="2"/>
  <c r="J114" i="2"/>
  <c r="J141" i="2"/>
  <c r="J194" i="2"/>
  <c r="J51" i="2"/>
  <c r="J71" i="2"/>
  <c r="J104" i="2"/>
  <c r="J23" i="2"/>
  <c r="J168" i="2"/>
  <c r="J143" i="2"/>
  <c r="J108" i="2"/>
  <c r="J128" i="2"/>
  <c r="J8" i="2"/>
  <c r="J27" i="2"/>
  <c r="J198" i="2"/>
  <c r="J132" i="2"/>
  <c r="J49" i="2"/>
  <c r="J163" i="2"/>
  <c r="J170" i="2"/>
  <c r="J58" i="2"/>
  <c r="J158" i="2"/>
  <c r="J126" i="2"/>
  <c r="J79" i="2"/>
  <c r="J134" i="2"/>
  <c r="J10" i="2"/>
  <c r="J3" i="2"/>
  <c r="J175" i="2"/>
  <c r="J56" i="2"/>
  <c r="J42" i="2"/>
  <c r="J184" i="2"/>
  <c r="J69" i="2"/>
  <c r="J40" i="2"/>
  <c r="J38" i="2"/>
  <c r="J12" i="2"/>
  <c r="J199" i="2"/>
  <c r="J145" i="2"/>
  <c r="J181" i="2"/>
  <c r="J61" i="2"/>
  <c r="J89" i="2"/>
  <c r="J52" i="2"/>
  <c r="J195" i="2"/>
  <c r="J95" i="2"/>
  <c r="J201" i="2"/>
  <c r="J144" i="2"/>
  <c r="J185" i="2"/>
  <c r="J50" i="2"/>
  <c r="J7" i="2"/>
  <c r="J135" i="2"/>
  <c r="J191" i="2"/>
  <c r="J19" i="2"/>
  <c r="J59" i="2"/>
  <c r="J101" i="2"/>
  <c r="J148" i="2"/>
  <c r="J102" i="2"/>
  <c r="J129" i="2"/>
  <c r="J117" i="2"/>
  <c r="J98" i="2"/>
  <c r="J147" i="2"/>
  <c r="J161" i="2"/>
  <c r="J123" i="2"/>
  <c r="J92" i="2"/>
  <c r="J187" i="2"/>
  <c r="J172" i="2"/>
  <c r="J122" i="2"/>
  <c r="J107" i="2"/>
  <c r="J160" i="2"/>
  <c r="J139" i="2"/>
  <c r="J13" i="2"/>
  <c r="J9" i="2"/>
  <c r="J4" i="2"/>
  <c r="J124" i="2"/>
  <c r="J54" i="2"/>
  <c r="J151" i="2"/>
  <c r="J20" i="2"/>
  <c r="J41" i="2"/>
  <c r="J33" i="2"/>
  <c r="J67" i="2"/>
  <c r="J120" i="2"/>
  <c r="J119" i="2"/>
  <c r="J197" i="2"/>
  <c r="J6" i="2"/>
  <c r="J190" i="2"/>
  <c r="J149" i="2"/>
  <c r="J39" i="2"/>
  <c r="J53" i="2"/>
  <c r="J68" i="2"/>
  <c r="J109" i="2"/>
  <c r="J78" i="2"/>
  <c r="J11" i="2"/>
  <c r="J169" i="2"/>
  <c r="J28" i="2"/>
  <c r="J34" i="2"/>
  <c r="J43" i="2"/>
  <c r="J155" i="2"/>
  <c r="J196" i="2"/>
  <c r="J154" i="2"/>
  <c r="J133" i="2"/>
  <c r="J192" i="2"/>
  <c r="J73" i="2"/>
  <c r="J112" i="2"/>
  <c r="J48" i="2"/>
  <c r="J178" i="2"/>
  <c r="J84" i="2"/>
  <c r="J2" i="2"/>
  <c r="J164" i="2"/>
  <c r="J86" i="2"/>
  <c r="J47" i="2"/>
  <c r="J157" i="2"/>
  <c r="J193" i="2"/>
  <c r="J137" i="2"/>
  <c r="J103" i="2"/>
  <c r="J37" i="2"/>
  <c r="J22" i="2"/>
  <c r="J105" i="2"/>
  <c r="J77" i="2"/>
  <c r="J182" i="2"/>
  <c r="J82" i="2"/>
  <c r="J116" i="2"/>
  <c r="J62" i="2"/>
  <c r="J115" i="2"/>
  <c r="J66" i="2"/>
  <c r="J140" i="2"/>
  <c r="J96" i="2"/>
  <c r="J130" i="2"/>
  <c r="J159" i="2"/>
  <c r="J36" i="2"/>
  <c r="J32" i="2"/>
  <c r="J25" i="2"/>
  <c r="J127" i="2"/>
  <c r="J180" i="2"/>
  <c r="J21" i="2"/>
  <c r="J153" i="2"/>
  <c r="J100" i="2"/>
  <c r="J75" i="2"/>
  <c r="J64" i="2"/>
  <c r="J88" i="2"/>
  <c r="J179" i="2"/>
  <c r="J97" i="2"/>
  <c r="J16" i="2"/>
  <c r="J150" i="2"/>
  <c r="J200" i="2"/>
  <c r="J72" i="2"/>
  <c r="J5" i="2"/>
  <c r="J81" i="2"/>
  <c r="J146" i="2"/>
  <c r="J80" i="2"/>
  <c r="J90" i="2"/>
  <c r="J186" i="2"/>
  <c r="J174" i="2"/>
  <c r="J87" i="2"/>
  <c r="J138" i="2"/>
  <c r="J24" i="2"/>
  <c r="J110" i="2"/>
  <c r="J99" i="2"/>
  <c r="J17" i="2"/>
  <c r="J44" i="2"/>
  <c r="S2" i="2" l="1"/>
  <c r="S4" i="2" s="1"/>
  <c r="O7" i="2"/>
  <c r="P7" i="2" s="1"/>
  <c r="O11" i="2"/>
  <c r="P11" i="2" s="1"/>
  <c r="O15" i="2"/>
  <c r="P15" i="2" s="1"/>
  <c r="O14" i="2"/>
  <c r="P14" i="2" s="1"/>
  <c r="O8" i="2"/>
  <c r="P8" i="2" s="1"/>
  <c r="O12" i="2"/>
  <c r="P12" i="2" s="1"/>
  <c r="O6" i="2"/>
  <c r="P6" i="2" s="1"/>
  <c r="O9" i="2"/>
  <c r="P9" i="2" s="1"/>
  <c r="O13" i="2"/>
  <c r="P13" i="2" s="1"/>
  <c r="O10" i="2"/>
  <c r="P10" i="2" s="1"/>
</calcChain>
</file>

<file path=xl/sharedStrings.xml><?xml version="1.0" encoding="utf-8"?>
<sst xmlns="http://schemas.openxmlformats.org/spreadsheetml/2006/main" count="910" uniqueCount="156">
  <si>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</si>
  <si>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</si>
  <si>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</si>
  <si>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</si>
  <si>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</si>
  <si>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</si>
  <si>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</si>
  <si>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</si>
  <si>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</si>
  <si>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</si>
  <si>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</si>
  <si>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</si>
  <si>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</si>
  <si>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</si>
  <si>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</si>
  <si>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</si>
  <si>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</si>
  <si>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</si>
  <si>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</si>
  <si>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</si>
  <si>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</si>
  <si>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</si>
  <si>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</si>
  <si>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</si>
  <si>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</si>
  <si>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</si>
  <si>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</si>
  <si>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</si>
  <si>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</si>
  <si>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</si>
  <si>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</si>
  <si>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</si>
  <si>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</si>
  <si>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</si>
  <si>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</si>
  <si>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</si>
  <si>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</si>
  <si>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</si>
  <si>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</si>
  <si>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</si>
  <si>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</si>
  <si>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</si>
  <si>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</si>
  <si>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</si>
  <si>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</si>
  <si>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</si>
  <si>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</si>
  <si>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</si>
  <si>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</si>
  <si>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</si>
  <si>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</si>
  <si>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</si>
  <si>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</si>
  <si>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</si>
  <si>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</si>
  <si>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</si>
  <si>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</si>
  <si>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</si>
  <si>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</si>
  <si>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</si>
  <si>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</si>
  <si>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</si>
  <si>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</si>
  <si>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</si>
  <si>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</si>
  <si>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</si>
  <si>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</si>
  <si>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</si>
  <si>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</si>
  <si>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</si>
  <si>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</si>
  <si>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</si>
  <si>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</si>
  <si>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</si>
  <si>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</si>
  <si>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</si>
  <si>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</si>
  <si>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</si>
  <si>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Purchase</t>
  </si>
  <si>
    <t>Dymanic 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</si>
  <si>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</si>
  <si>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</si>
  <si>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</si>
  <si>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</si>
  <si>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</si>
  <si>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</si>
  <si>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</si>
  <si>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</si>
  <si>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</si>
  <si>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</si>
  <si>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</si>
  <si>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</si>
  <si>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</si>
  <si>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</si>
  <si>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</si>
  <si>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</si>
  <si>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</si>
  <si>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</si>
  <si>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</si>
  <si>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</si>
  <si>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</si>
  <si>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</si>
  <si>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</si>
  <si>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</si>
  <si>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</si>
  <si>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</si>
  <si>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</si>
  <si>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</si>
  <si>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</si>
  <si>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</si>
  <si>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</si>
  <si>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</si>
  <si>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</si>
  <si>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</si>
  <si>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</si>
  <si>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</si>
  <si>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</si>
  <si>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Month</t>
  </si>
  <si>
    <t>2024-04</t>
  </si>
  <si>
    <t>2024-05</t>
  </si>
  <si>
    <t>2024-06</t>
  </si>
  <si>
    <t>2024-07</t>
  </si>
  <si>
    <t>2024-08</t>
  </si>
  <si>
    <t>2024-09</t>
  </si>
  <si>
    <t>2024-10</t>
  </si>
  <si>
    <t>2024-11</t>
  </si>
  <si>
    <t>2024-12</t>
  </si>
  <si>
    <t>2025-02</t>
  </si>
  <si>
    <t>2025-03</t>
  </si>
  <si>
    <t>2025-04</t>
  </si>
  <si>
    <t>2025-01</t>
  </si>
  <si>
    <t>Total_Sales</t>
  </si>
  <si>
    <t>-</t>
  </si>
  <si>
    <t>Sales_Growth</t>
  </si>
  <si>
    <t>Timestamp</t>
  </si>
  <si>
    <t>Row Labels</t>
  </si>
  <si>
    <t>Grand Total</t>
  </si>
  <si>
    <t>Sum of Total Purchase</t>
  </si>
  <si>
    <t>2024</t>
  </si>
  <si>
    <t>2025</t>
  </si>
  <si>
    <t>Apr</t>
  </si>
  <si>
    <t>May</t>
  </si>
  <si>
    <t>Jun</t>
  </si>
  <si>
    <t>Jul</t>
  </si>
  <si>
    <t>Aug</t>
  </si>
  <si>
    <t>Sep</t>
  </si>
  <si>
    <t>Oct</t>
  </si>
  <si>
    <t>Nov</t>
  </si>
  <si>
    <t>Dec</t>
  </si>
  <si>
    <t>Jan</t>
  </si>
  <si>
    <t>Feb</t>
  </si>
  <si>
    <t>Mar</t>
  </si>
  <si>
    <t>WHAT IF ANALYSIS</t>
  </si>
  <si>
    <t xml:space="preserve">INDEX - MATCH </t>
  </si>
  <si>
    <t>Conditional fornatting</t>
  </si>
  <si>
    <t>Goal seek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</si>
</sst>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00%"/>
    <numFmt numFmtId="166" formatCode="&quot;₹&quot;\ #,##0"/>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i/>
      <sz val="11"/>
      <color theme="1"/>
      <name val="Calibri"/>
      <family val="2"/>
      <scheme val="minor"/>
    </font>
    <font>
      <b/>
      <i/>
      <sz val="11"/>
      <color theme="1"/>
      <name val="Calibri"/>
      <family val="2"/>
      <scheme val="minor"/>
    </font>
    <font>
      <b/>
      <sz val="11"/>
      <color theme="1"/>
      <name val="Calibri"/>
      <family val="2"/>
      <scheme val="minor"/>
    </font>
    <font>
      <sz val="11"/>
      <color theme="1"/>
      <name val="Calibri"/>
      <family val="2"/>
    </font>
  </fonts>
  <fills count="13">
    <fill>
      <patternFill patternType="none"/>
    </fill>
    <fill>
      <patternFill patternType="gray125"/>
    </fill>
    <fill>
      <patternFill patternType="solid">
        <fgColor rgb="FFFFF2CC"/>
        <bgColor rgb="FFFFF2CC"/>
      </patternFill>
    </fill>
    <fill>
      <patternFill patternType="solid">
        <fgColor theme="4" tint="0.39997558519241921"/>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1" tint="0.149998474074526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7" fillId="0" borderId="0" applyFont="0" applyFill="0" applyBorder="0" applyAlignment="0" applyProtection="0"/>
  </cellStyleXfs>
  <cellXfs count="40">
    <xf numFmtId="0" fontId="0" fillId="0" borderId="0" xfId="0"/>
    <xf numFmtId="0" fontId="4" fillId="2" borderId="1" xfId="0" applyFont="1" applyFill="1" applyBorder="1" applyAlignment="1">
      <alignment horizontal="center"/>
    </xf>
    <xf numFmtId="0" fontId="5" fillId="0" borderId="0" xfId="0" applyFont="1"/>
    <xf numFmtId="0" fontId="0" fillId="0" borderId="2" xfId="0" applyBorder="1"/>
    <xf numFmtId="0" fontId="12" fillId="3" borderId="2" xfId="0" applyFont="1" applyFill="1" applyBorder="1" applyAlignment="1">
      <alignment horizontal="center" vertical="center"/>
    </xf>
    <xf numFmtId="0" fontId="0" fillId="4" borderId="2" xfId="0" applyFill="1" applyBorder="1" applyAlignment="1">
      <alignment horizontal="center" vertical="center"/>
    </xf>
    <xf numFmtId="0" fontId="0" fillId="5" borderId="0" xfId="0" applyFill="1"/>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0" fillId="7" borderId="2" xfId="0" applyFill="1" applyBorder="1"/>
    <xf numFmtId="0" fontId="6" fillId="0" borderId="0" xfId="0" applyFont="1" applyAlignment="1">
      <alignment horizontal="center" vertical="center"/>
    </xf>
    <xf numFmtId="0" fontId="3" fillId="4" borderId="2" xfId="0" applyFont="1" applyFill="1" applyBorder="1" applyAlignment="1">
      <alignment horizontal="center" vertical="center"/>
    </xf>
    <xf numFmtId="165" fontId="0" fillId="4" borderId="2" xfId="1" applyNumberFormat="1"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3" borderId="2" xfId="0"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13" fillId="0" borderId="1" xfId="0" applyFont="1" applyBorder="1" applyAlignment="1">
      <alignment wrapText="1"/>
    </xf>
    <xf numFmtId="0" fontId="1" fillId="8" borderId="0" xfId="0" applyFont="1" applyFill="1"/>
    <xf numFmtId="166" fontId="0" fillId="9" borderId="0" xfId="0" applyNumberFormat="1" applyFill="1"/>
    <xf numFmtId="0" fontId="0" fillId="11" borderId="2" xfId="0" applyFill="1" applyBorder="1" applyAlignment="1">
      <alignment horizontal="center" vertical="center"/>
    </xf>
    <xf numFmtId="0" fontId="0" fillId="8" borderId="2" xfId="0" applyFill="1" applyBorder="1" applyAlignment="1">
      <alignment horizontal="center" vertical="center"/>
    </xf>
    <xf numFmtId="0" fontId="0" fillId="10" borderId="2" xfId="0" applyFill="1" applyBorder="1" applyAlignment="1">
      <alignment horizontal="center" vertical="center"/>
    </xf>
    <xf numFmtId="0" fontId="6" fillId="3" borderId="2" xfId="0" applyFont="1" applyFill="1" applyBorder="1" applyAlignment="1">
      <alignment horizontal="center" vertical="center"/>
    </xf>
    <xf numFmtId="22" fontId="2" fillId="4" borderId="2" xfId="0" applyNumberFormat="1" applyFont="1" applyFill="1" applyBorder="1" applyAlignment="1">
      <alignment horizontal="center" vertical="center"/>
    </xf>
    <xf numFmtId="0" fontId="6" fillId="0" borderId="2" xfId="0" applyFont="1" applyBorder="1" applyAlignment="1">
      <alignment horizontal="center" vertical="center"/>
    </xf>
    <xf numFmtId="0" fontId="12" fillId="0" borderId="2" xfId="0" applyFont="1" applyBorder="1" applyAlignment="1">
      <alignment horizontal="center" vertical="center"/>
    </xf>
    <xf numFmtId="0" fontId="7" fillId="0" borderId="2" xfId="0" applyFont="1" applyBorder="1" applyAlignment="1">
      <alignment horizontal="center" vertical="center"/>
    </xf>
    <xf numFmtId="164" fontId="7" fillId="0" borderId="2" xfId="0" applyNumberFormat="1" applyFont="1" applyBorder="1" applyAlignment="1">
      <alignment horizontal="center" vertical="center"/>
    </xf>
    <xf numFmtId="0" fontId="10" fillId="6" borderId="6" xfId="0" applyFont="1" applyFill="1" applyBorder="1" applyAlignment="1">
      <alignment horizontal="centerContinuous"/>
    </xf>
    <xf numFmtId="0" fontId="0" fillId="7" borderId="6" xfId="0" applyFill="1" applyBorder="1"/>
    <xf numFmtId="0" fontId="10" fillId="6" borderId="6" xfId="0" applyFont="1" applyFill="1" applyBorder="1" applyAlignment="1">
      <alignment horizontal="center"/>
    </xf>
    <xf numFmtId="0" fontId="0" fillId="12" borderId="0" xfId="0" applyFill="1"/>
    <xf numFmtId="9" fontId="0" fillId="0" borderId="0" xfId="1" applyFont="1" applyAlignment="1">
      <alignment horizontal="center" vertical="center"/>
    </xf>
    <xf numFmtId="0" fontId="12" fillId="4" borderId="3" xfId="0" applyFont="1" applyFill="1" applyBorder="1" applyAlignment="1">
      <alignment horizontal="center" vertical="center"/>
    </xf>
    <xf numFmtId="0" fontId="0" fillId="4" borderId="5" xfId="0" applyFill="1" applyBorder="1" applyAlignment="1">
      <alignment horizontal="center" vertical="center"/>
    </xf>
    <xf numFmtId="0" fontId="0" fillId="4" borderId="4" xfId="0" applyFill="1" applyBorder="1" applyAlignment="1">
      <alignment horizontal="center" vertical="center"/>
    </xf>
    <xf numFmtId="0" fontId="0" fillId="0" borderId="0" xfId="0" applyNumberFormat="1"/>
  </cellXfs>
  <cellStyles count="2">
    <cellStyle name="Normal" xfId="0" builtinId="0"/>
    <cellStyle name="Percent" xfId="1" builtinId="5"/>
  </cellStyles>
  <dxfs count="6">
    <dxf>
      <numFmt numFmtId="0" formatCode="General"/>
    </dxf>
    <dxf>
      <font>
        <color rgb="FF006100"/>
      </font>
      <fill>
        <patternFill>
          <bgColor rgb="FFC6EFCE"/>
        </patternFill>
      </fill>
    </dxf>
    <dxf>
      <font>
        <color rgb="FF9C0006"/>
      </font>
      <fill>
        <patternFill>
          <bgColor rgb="FFFFC7CE"/>
        </patternFill>
      </fill>
    </dxf>
    <dxf>
      <numFmt numFmtId="0" formatCode="General"/>
    </dxf>
    <dxf>
      <font>
        <color theme="0"/>
      </font>
      <fill>
        <patternFill>
          <bgColor theme="1" tint="0.34998626667073579"/>
        </patternFill>
      </fill>
      <border diagonalUp="0" diagonalDown="0">
        <left style="thin">
          <color auto="1"/>
        </left>
        <right style="thin">
          <color auto="1"/>
        </right>
        <top style="thin">
          <color auto="1"/>
        </top>
        <bottom style="thin">
          <color auto="1"/>
        </bottom>
        <vertical/>
        <horizontal/>
      </border>
    </dxf>
    <dxf>
      <font>
        <color theme="1" tint="0.499984740745262"/>
      </font>
    </dxf>
  </dxfs>
  <tableStyles count="2" defaultTableStyle="TableStyleMedium2" defaultPivotStyle="PivotStyleLight16">
    <tableStyle name="Slicer Style 1" pivot="0" table="0" count="1" xr9:uid="{12BD7564-26C2-4303-8B1B-7658C3DC64A2}">
      <tableStyleElement type="wholeTable" dxfId="5"/>
    </tableStyle>
    <tableStyle name="Slicer Style 2" pivot="0" table="0" count="4" xr9:uid="{E6735C69-4965-4ECE-96D9-AEE3AF9B89D6}">
      <tableStyleElement type="wholeTable" dxfId="4"/>
    </tableStyle>
  </tableStyles>
  <colors>
    <mruColors>
      <color rgb="FF3F9F46"/>
    </mruColors>
  </colors>
  <extLst>
    <ext xmlns:x14="http://schemas.microsoft.com/office/spreadsheetml/2009/9/main" uri="{46F421CA-312F-682f-3DD2-61675219B42D}">
      <x14:dxfs count="3">
        <dxf>
          <fill>
            <patternFill>
              <bgColor theme="2" tint="-0.14996795556505021"/>
            </patternFill>
          </fill>
        </dxf>
        <dxf>
          <fill>
            <patternFill>
              <bgColor theme="1"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Analyzer T.xlsx]Region!PivotTable1</c:name>
    <c:fmtId val="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Pie chart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Region!$D$2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563-4390-A45A-F878A72A6D2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563-4390-A45A-F878A72A6D2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563-4390-A45A-F878A72A6D2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563-4390-A45A-F878A72A6D2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563-4390-A45A-F878A72A6D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Region!$C$3:$C$8</c:f>
              <c:strCache>
                <c:ptCount val="5"/>
                <c:pt idx="0">
                  <c:v>Central</c:v>
                </c:pt>
                <c:pt idx="1">
                  <c:v>East</c:v>
                </c:pt>
                <c:pt idx="2">
                  <c:v>North</c:v>
                </c:pt>
                <c:pt idx="3">
                  <c:v>South</c:v>
                </c:pt>
                <c:pt idx="4">
                  <c:v>West</c:v>
                </c:pt>
              </c:strCache>
            </c:strRef>
          </c:cat>
          <c:val>
            <c:numRef>
              <c:f>Region!$D$3:$D$8</c:f>
              <c:numCache>
                <c:formatCode>General</c:formatCode>
                <c:ptCount val="5"/>
                <c:pt idx="0">
                  <c:v>168475.43000000002</c:v>
                </c:pt>
                <c:pt idx="1">
                  <c:v>227849.36</c:v>
                </c:pt>
                <c:pt idx="2">
                  <c:v>168274.52000000002</c:v>
                </c:pt>
                <c:pt idx="3">
                  <c:v>212285.78999999998</c:v>
                </c:pt>
                <c:pt idx="4">
                  <c:v>278458.60000000003</c:v>
                </c:pt>
              </c:numCache>
            </c:numRef>
          </c:val>
          <c:extLst>
            <c:ext xmlns:c16="http://schemas.microsoft.com/office/drawing/2014/chart" uri="{C3380CC4-5D6E-409C-BE32-E72D297353CC}">
              <c16:uniqueId val="{00000000-A64C-4A58-A9F7-90CFA4ED0CA4}"/>
            </c:ext>
          </c:extLst>
        </c:ser>
        <c:dLbls>
          <c:showLegendKey val="0"/>
          <c:showVal val="0"/>
          <c:showCatName val="1"/>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Analyzer T.xlsx]Product!PivotTable2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Bar</a:t>
            </a:r>
            <a:r>
              <a:rPr lang="en-US" baseline="0"/>
              <a:t> Chart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Product!$E$2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Product!$D$3:$D$6</c:f>
              <c:strCache>
                <c:ptCount val="3"/>
                <c:pt idx="0">
                  <c:v>Electronics</c:v>
                </c:pt>
                <c:pt idx="1">
                  <c:v>Furniture</c:v>
                </c:pt>
                <c:pt idx="2">
                  <c:v>Office Supplies</c:v>
                </c:pt>
              </c:strCache>
            </c:strRef>
          </c:cat>
          <c:val>
            <c:numRef>
              <c:f>Product!$E$3:$E$6</c:f>
              <c:numCache>
                <c:formatCode>General</c:formatCode>
                <c:ptCount val="3"/>
                <c:pt idx="0">
                  <c:v>407748.73999999987</c:v>
                </c:pt>
                <c:pt idx="1">
                  <c:v>356940.18999999989</c:v>
                </c:pt>
                <c:pt idx="2">
                  <c:v>290654.77</c:v>
                </c:pt>
              </c:numCache>
            </c:numRef>
          </c:val>
          <c:extLst>
            <c:ext xmlns:c16="http://schemas.microsoft.com/office/drawing/2014/chart" uri="{C3380CC4-5D6E-409C-BE32-E72D297353CC}">
              <c16:uniqueId val="{00000000-7DCA-4B61-B84E-D17C4C668EAC}"/>
            </c:ext>
          </c:extLst>
        </c:ser>
        <c:dLbls>
          <c:dLblPos val="outEnd"/>
          <c:showLegendKey val="0"/>
          <c:showVal val="1"/>
          <c:showCatName val="0"/>
          <c:showSerName val="0"/>
          <c:showPercent val="0"/>
          <c:showBubbleSize val="0"/>
        </c:dLbls>
        <c:gapWidth val="182"/>
        <c:overlap val="-50"/>
        <c:axId val="336168960"/>
        <c:axId val="336169920"/>
      </c:barChart>
      <c:catAx>
        <c:axId val="3361689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6169920"/>
        <c:crosses val="autoZero"/>
        <c:auto val="1"/>
        <c:lblAlgn val="ctr"/>
        <c:lblOffset val="100"/>
        <c:noMultiLvlLbl val="0"/>
      </c:catAx>
      <c:valAx>
        <c:axId val="3361699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3616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Analyzer T.xlsx]Date!PivotTable3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727034120735"/>
          <c:y val="0.24939596092155147"/>
          <c:w val="0.79329396325459323"/>
          <c:h val="0.36226560221638959"/>
        </c:manualLayout>
      </c:layout>
      <c:lineChart>
        <c:grouping val="standard"/>
        <c:varyColors val="0"/>
        <c:ser>
          <c:idx val="0"/>
          <c:order val="0"/>
          <c:tx>
            <c:strRef>
              <c:f>Date!$E$2</c:f>
              <c:strCache>
                <c:ptCount val="1"/>
                <c:pt idx="0">
                  <c:v>Total</c:v>
                </c:pt>
              </c:strCache>
            </c:strRef>
          </c:tx>
          <c:spPr>
            <a:ln w="28575" cap="rnd">
              <a:solidFill>
                <a:schemeClr val="accent1"/>
              </a:solidFill>
              <a:round/>
            </a:ln>
            <a:effectLst/>
          </c:spPr>
          <c:marker>
            <c:symbol val="none"/>
          </c:marker>
          <c:cat>
            <c:multiLvlStrRef>
              <c:f>Date!$D$3:$D$18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Date!$E$3:$E$18</c:f>
              <c:numCache>
                <c:formatCode>General</c:formatCode>
                <c:ptCount val="13"/>
                <c:pt idx="0">
                  <c:v>77084.97</c:v>
                </c:pt>
                <c:pt idx="1">
                  <c:v>144490.81000000003</c:v>
                </c:pt>
                <c:pt idx="2">
                  <c:v>107232.65999999997</c:v>
                </c:pt>
                <c:pt idx="3">
                  <c:v>96524.819999999992</c:v>
                </c:pt>
                <c:pt idx="4">
                  <c:v>59284.37999999999</c:v>
                </c:pt>
                <c:pt idx="5">
                  <c:v>131251.10999999999</c:v>
                </c:pt>
                <c:pt idx="6">
                  <c:v>51502.499999999993</c:v>
                </c:pt>
                <c:pt idx="7">
                  <c:v>112807.54999999999</c:v>
                </c:pt>
                <c:pt idx="8">
                  <c:v>88777.98000000001</c:v>
                </c:pt>
                <c:pt idx="9">
                  <c:v>52040.520000000004</c:v>
                </c:pt>
                <c:pt idx="10">
                  <c:v>62672.51</c:v>
                </c:pt>
                <c:pt idx="11">
                  <c:v>60179.01</c:v>
                </c:pt>
                <c:pt idx="12">
                  <c:v>11494.880000000001</c:v>
                </c:pt>
              </c:numCache>
            </c:numRef>
          </c:val>
          <c:smooth val="0"/>
          <c:extLst>
            <c:ext xmlns:c16="http://schemas.microsoft.com/office/drawing/2014/chart" uri="{C3380CC4-5D6E-409C-BE32-E72D297353CC}">
              <c16:uniqueId val="{00000000-5706-4422-889D-9429E4FABD72}"/>
            </c:ext>
          </c:extLst>
        </c:ser>
        <c:dLbls>
          <c:showLegendKey val="0"/>
          <c:showVal val="0"/>
          <c:showCatName val="0"/>
          <c:showSerName val="0"/>
          <c:showPercent val="0"/>
          <c:showBubbleSize val="0"/>
        </c:dLbls>
        <c:smooth val="0"/>
        <c:axId val="1470334943"/>
        <c:axId val="1470336383"/>
      </c:lineChart>
      <c:catAx>
        <c:axId val="1470334943"/>
        <c:scaling>
          <c:orientation val="minMax"/>
        </c:scaling>
        <c:delete val="0"/>
        <c:axPos val="b"/>
        <c:title>
          <c:tx>
            <c:rich>
              <a:bodyPr rot="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r>
                  <a:rPr lang="en-US"/>
                  <a:t>Month</a:t>
                </a:r>
              </a:p>
            </c:rich>
          </c:tx>
          <c:overlay val="0"/>
          <c:spPr>
            <a:solidFill>
              <a:schemeClr val="tx1">
                <a:lumMod val="50000"/>
                <a:lumOff val="50000"/>
              </a:schemeClr>
            </a:solidFill>
            <a:ln>
              <a:solidFill>
                <a:schemeClr val="tx1">
                  <a:lumMod val="50000"/>
                  <a:lumOff val="50000"/>
                </a:schemeClr>
              </a:solidFill>
            </a:ln>
            <a:effectLst/>
          </c:spPr>
          <c:txPr>
            <a:bodyPr rot="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470336383"/>
        <c:crosses val="autoZero"/>
        <c:auto val="1"/>
        <c:lblAlgn val="ctr"/>
        <c:lblOffset val="100"/>
        <c:noMultiLvlLbl val="0"/>
      </c:catAx>
      <c:valAx>
        <c:axId val="147033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bg1"/>
                    </a:solidFill>
                  </a:ln>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crossAx val="1470334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tx1">
          <a:lumMod val="50000"/>
          <a:lumOff val="50000"/>
        </a:schemeClr>
      </a:solid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Analyzer T.xlsx]Region!PivotTable1</c:name>
    <c:fmtId val="7"/>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200">
                <a:solidFill>
                  <a:schemeClr val="bg1"/>
                </a:solidFill>
              </a:rPr>
              <a:t>Pie Chart</a:t>
            </a:r>
          </a:p>
        </c:rich>
      </c:tx>
      <c:overlay val="0"/>
      <c:spPr>
        <a:noFill/>
        <a:ln>
          <a:noFill/>
        </a:ln>
        <a:effectLst/>
      </c:sp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marker>
          <c:symbol val="none"/>
        </c:marker>
        <c:dLbl>
          <c:idx val="0"/>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1">
              <a:shade val="53000"/>
            </a:schemeClr>
          </a:solidFill>
          <a:ln>
            <a:noFill/>
          </a:ln>
          <a:effectLst>
            <a:outerShdw blurRad="317500" algn="ctr" rotWithShape="0">
              <a:prstClr val="black">
                <a:alpha val="25000"/>
              </a:prstClr>
            </a:outerShdw>
          </a:effectLst>
        </c:spPr>
        <c:dLbl>
          <c:idx val="0"/>
          <c:layout>
            <c:manualLayout>
              <c:x val="0.12387387387387387"/>
              <c:y val="-0.10124610591900311"/>
            </c:manualLayout>
          </c:layout>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hade val="76000"/>
            </a:schemeClr>
          </a:solidFill>
          <a:ln>
            <a:noFill/>
          </a:ln>
          <a:effectLst>
            <a:outerShdw blurRad="317500" algn="ctr" rotWithShape="0">
              <a:prstClr val="black">
                <a:alpha val="25000"/>
              </a:prstClr>
            </a:outerShdw>
          </a:effectLst>
        </c:spPr>
        <c:dLbl>
          <c:idx val="0"/>
          <c:layout>
            <c:manualLayout>
              <c:x val="0.10698198198198199"/>
              <c:y val="7.7881619937694699E-2"/>
            </c:manualLayout>
          </c:layout>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1.6891891891891893E-2"/>
              <c:y val="0.10903426791277245"/>
            </c:manualLayout>
          </c:layout>
          <c:spPr>
            <a:noFill/>
            <a:ln>
              <a:noFill/>
            </a:ln>
            <a:effectLst/>
          </c:spPr>
          <c:txPr>
            <a:bodyPr rot="0" spcFirstLastPara="1" vertOverflow="ellipsis" vert="horz" wrap="square" lIns="36000" tIns="19050" rIns="360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064605944527205"/>
                  <c:h val="0.19636961267692005"/>
                </c:manualLayout>
              </c15:layout>
            </c:ext>
          </c:extLst>
        </c:dLbl>
      </c:pivotFmt>
      <c:pivotFmt>
        <c:idx val="11"/>
        <c:spPr>
          <a:solidFill>
            <a:schemeClr val="accent1">
              <a:tint val="77000"/>
            </a:schemeClr>
          </a:solidFill>
          <a:ln>
            <a:noFill/>
          </a:ln>
          <a:effectLst>
            <a:outerShdw blurRad="317500" algn="ctr" rotWithShape="0">
              <a:prstClr val="black">
                <a:alpha val="25000"/>
              </a:prstClr>
            </a:outerShdw>
          </a:effectLst>
        </c:spPr>
        <c:dLbl>
          <c:idx val="0"/>
          <c:layout>
            <c:manualLayout>
              <c:x val="-0.11824324324324319"/>
              <c:y val="0.12461059190031139"/>
            </c:manualLayout>
          </c:layout>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chemeClr val="accent1">
              <a:tint val="54000"/>
            </a:schemeClr>
          </a:solidFill>
          <a:ln>
            <a:noFill/>
          </a:ln>
          <a:effectLst>
            <a:outerShdw blurRad="317500" algn="ctr" rotWithShape="0">
              <a:prstClr val="black">
                <a:alpha val="25000"/>
              </a:prstClr>
            </a:outerShdw>
          </a:effectLst>
        </c:spPr>
        <c:dLbl>
          <c:idx val="0"/>
          <c:layout>
            <c:manualLayout>
              <c:x val="-0.11261261261261267"/>
              <c:y val="-0.10124610591900311"/>
            </c:manualLayout>
          </c:layout>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44023196424771222"/>
          <c:y val="0.28969509652414943"/>
          <c:w val="0.39220889196282899"/>
          <c:h val="0.54249454215419335"/>
        </c:manualLayout>
      </c:layout>
      <c:doughnutChart>
        <c:varyColors val="1"/>
        <c:ser>
          <c:idx val="0"/>
          <c:order val="0"/>
          <c:tx>
            <c:strRef>
              <c:f>Region!$D$2</c:f>
              <c:strCache>
                <c:ptCount val="1"/>
                <c:pt idx="0">
                  <c:v>Total</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8E0-4899-8F78-E1526E927A63}"/>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8E0-4899-8F78-E1526E927A63}"/>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8E0-4899-8F78-E1526E927A63}"/>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8E0-4899-8F78-E1526E927A63}"/>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8E0-4899-8F78-E1526E927A63}"/>
              </c:ext>
            </c:extLst>
          </c:dPt>
          <c:dLbls>
            <c:dLbl>
              <c:idx val="0"/>
              <c:layout>
                <c:manualLayout>
                  <c:x val="0.12387387387387387"/>
                  <c:y val="-0.101246105919003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8E0-4899-8F78-E1526E927A63}"/>
                </c:ext>
              </c:extLst>
            </c:dLbl>
            <c:dLbl>
              <c:idx val="1"/>
              <c:layout>
                <c:manualLayout>
                  <c:x val="0.10698198198198199"/>
                  <c:y val="7.78816199376946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E0-4899-8F78-E1526E927A63}"/>
                </c:ext>
              </c:extLst>
            </c:dLbl>
            <c:dLbl>
              <c:idx val="2"/>
              <c:layout>
                <c:manualLayout>
                  <c:x val="1.6891891891891893E-2"/>
                  <c:y val="0.10903426791277245"/>
                </c:manualLayout>
              </c:layout>
              <c:spPr>
                <a:noFill/>
                <a:ln>
                  <a:noFill/>
                </a:ln>
                <a:effectLst/>
              </c:spPr>
              <c:txPr>
                <a:bodyPr rot="0" spcFirstLastPara="1" vertOverflow="ellipsis" vert="horz" wrap="square" lIns="36000" tIns="19050" rIns="360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064605944527205"/>
                      <c:h val="0.19636961267692005"/>
                    </c:manualLayout>
                  </c15:layout>
                </c:ext>
                <c:ext xmlns:c16="http://schemas.microsoft.com/office/drawing/2014/chart" uri="{C3380CC4-5D6E-409C-BE32-E72D297353CC}">
                  <c16:uniqueId val="{00000005-D8E0-4899-8F78-E1526E927A63}"/>
                </c:ext>
              </c:extLst>
            </c:dLbl>
            <c:dLbl>
              <c:idx val="3"/>
              <c:layout>
                <c:manualLayout>
                  <c:x val="-0.11824324324324319"/>
                  <c:y val="0.1246105919003113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8E0-4899-8F78-E1526E927A63}"/>
                </c:ext>
              </c:extLst>
            </c:dLbl>
            <c:dLbl>
              <c:idx val="4"/>
              <c:layout>
                <c:manualLayout>
                  <c:x val="-0.11261261261261267"/>
                  <c:y val="-0.101246105919003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8E0-4899-8F78-E1526E927A63}"/>
                </c:ext>
              </c:extLst>
            </c:dLbl>
            <c:spPr>
              <a:noFill/>
              <a:ln>
                <a:noFill/>
              </a:ln>
              <a:effectLst/>
            </c:spPr>
            <c:txPr>
              <a:bodyPr rot="0" spcFirstLastPara="1" vertOverflow="ellipsis" vert="horz" wrap="square" lIns="36000" tIns="19050" rIns="360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Region!$C$3:$C$8</c:f>
              <c:strCache>
                <c:ptCount val="5"/>
                <c:pt idx="0">
                  <c:v>Central</c:v>
                </c:pt>
                <c:pt idx="1">
                  <c:v>East</c:v>
                </c:pt>
                <c:pt idx="2">
                  <c:v>North</c:v>
                </c:pt>
                <c:pt idx="3">
                  <c:v>South</c:v>
                </c:pt>
                <c:pt idx="4">
                  <c:v>West</c:v>
                </c:pt>
              </c:strCache>
            </c:strRef>
          </c:cat>
          <c:val>
            <c:numRef>
              <c:f>Region!$D$3:$D$8</c:f>
              <c:numCache>
                <c:formatCode>General</c:formatCode>
                <c:ptCount val="5"/>
                <c:pt idx="0">
                  <c:v>168475.43000000002</c:v>
                </c:pt>
                <c:pt idx="1">
                  <c:v>227849.36</c:v>
                </c:pt>
                <c:pt idx="2">
                  <c:v>168274.52000000002</c:v>
                </c:pt>
                <c:pt idx="3">
                  <c:v>212285.78999999998</c:v>
                </c:pt>
                <c:pt idx="4">
                  <c:v>278458.60000000003</c:v>
                </c:pt>
              </c:numCache>
            </c:numRef>
          </c:val>
          <c:extLst>
            <c:ext xmlns:c16="http://schemas.microsoft.com/office/drawing/2014/chart" uri="{C3380CC4-5D6E-409C-BE32-E72D297353CC}">
              <c16:uniqueId val="{0000000A-D8E0-4899-8F78-E1526E927A63}"/>
            </c:ext>
          </c:extLst>
        </c:ser>
        <c:dLbls>
          <c:showLegendKey val="0"/>
          <c:showVal val="0"/>
          <c:showCatName val="1"/>
          <c:showSerName val="0"/>
          <c:showPercent val="1"/>
          <c:showBubbleSize val="0"/>
          <c:showLeaderLines val="1"/>
        </c:dLbls>
        <c:firstSliceAng val="0"/>
        <c:holeSize val="70"/>
      </c:doughnutChart>
      <c:spPr>
        <a:noFill/>
        <a:ln>
          <a:noFill/>
        </a:ln>
        <a:effectLst/>
      </c:spPr>
    </c:plotArea>
    <c:legend>
      <c:legendPos val="l"/>
      <c:overlay val="0"/>
      <c:spPr>
        <a:solidFill>
          <a:schemeClr val="tx1">
            <a:lumMod val="75000"/>
            <a:lumOff val="2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Analyzer T.xlsx]Product!PivotTable2</c:name>
    <c:fmtId val="16"/>
  </c:pivotSource>
  <c:chart>
    <c:title>
      <c:tx>
        <c:rich>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r>
              <a:rPr lang="en-US" sz="1200" b="0"/>
              <a:t>Bar Chart</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tx1">
                <a:lumMod val="50000"/>
                <a:lumOff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60615984948781"/>
          <c:y val="0.18300925925925926"/>
          <c:w val="0.72034074280537941"/>
          <c:h val="0.63558654126567504"/>
        </c:manualLayout>
      </c:layout>
      <c:barChart>
        <c:barDir val="bar"/>
        <c:grouping val="clustered"/>
        <c:varyColors val="0"/>
        <c:ser>
          <c:idx val="0"/>
          <c:order val="0"/>
          <c:tx>
            <c:strRef>
              <c:f>Product!$E$2</c:f>
              <c:strCache>
                <c:ptCount val="1"/>
                <c:pt idx="0">
                  <c:v>Total</c:v>
                </c:pt>
              </c:strCache>
            </c:strRef>
          </c:tx>
          <c:spPr>
            <a:solidFill>
              <a:schemeClr val="accent1">
                <a:lumMod val="75000"/>
              </a:schemeClr>
            </a:solidFill>
            <a:ln>
              <a:solidFill>
                <a:schemeClr val="tx1">
                  <a:lumMod val="50000"/>
                  <a:lumOff val="5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Product!$D$3:$D$6</c:f>
              <c:strCache>
                <c:ptCount val="3"/>
                <c:pt idx="0">
                  <c:v>Electronics</c:v>
                </c:pt>
                <c:pt idx="1">
                  <c:v>Furniture</c:v>
                </c:pt>
                <c:pt idx="2">
                  <c:v>Office Supplies</c:v>
                </c:pt>
              </c:strCache>
            </c:strRef>
          </c:cat>
          <c:val>
            <c:numRef>
              <c:f>Product!$E$3:$E$6</c:f>
              <c:numCache>
                <c:formatCode>General</c:formatCode>
                <c:ptCount val="3"/>
                <c:pt idx="0">
                  <c:v>407748.73999999987</c:v>
                </c:pt>
                <c:pt idx="1">
                  <c:v>356940.18999999989</c:v>
                </c:pt>
                <c:pt idx="2">
                  <c:v>290654.77</c:v>
                </c:pt>
              </c:numCache>
            </c:numRef>
          </c:val>
          <c:extLst>
            <c:ext xmlns:c16="http://schemas.microsoft.com/office/drawing/2014/chart" uri="{C3380CC4-5D6E-409C-BE32-E72D297353CC}">
              <c16:uniqueId val="{00000000-AEF7-4E84-BD30-0FFCD6385971}"/>
            </c:ext>
          </c:extLst>
        </c:ser>
        <c:dLbls>
          <c:dLblPos val="outEnd"/>
          <c:showLegendKey val="0"/>
          <c:showVal val="1"/>
          <c:showCatName val="0"/>
          <c:showSerName val="0"/>
          <c:showPercent val="0"/>
          <c:showBubbleSize val="0"/>
        </c:dLbls>
        <c:gapWidth val="115"/>
        <c:overlap val="-20"/>
        <c:axId val="336168960"/>
        <c:axId val="336169920"/>
      </c:barChart>
      <c:catAx>
        <c:axId val="33616896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6169920"/>
        <c:crosses val="autoZero"/>
        <c:auto val="1"/>
        <c:lblAlgn val="ctr"/>
        <c:lblOffset val="100"/>
        <c:noMultiLvlLbl val="0"/>
      </c:catAx>
      <c:valAx>
        <c:axId val="3361699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6168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Analyzer T.xlsx]Date!PivotTable3</c:name>
    <c:fmtId val="12"/>
  </c:pivotSource>
  <c:chart>
    <c:title>
      <c:tx>
        <c:rich>
          <a:bodyPr rot="0" spcFirstLastPara="1" vertOverflow="ellipsis" vert="horz" wrap="square" anchor="ctr" anchorCtr="1"/>
          <a:lstStyle/>
          <a:p>
            <a:pPr>
              <a:defRPr sz="1200" b="0" i="0" u="none" strike="noStrike" kern="1200" spc="0" baseline="0">
                <a:ln>
                  <a:noFill/>
                </a:ln>
                <a:solidFill>
                  <a:schemeClr val="bg1"/>
                </a:solidFill>
                <a:latin typeface="+mn-lt"/>
                <a:ea typeface="+mn-ea"/>
                <a:cs typeface="+mn-cs"/>
              </a:defRPr>
            </a:pPr>
            <a:r>
              <a:rPr lang="en-US" sz="1200"/>
              <a:t>Line</a:t>
            </a:r>
            <a:r>
              <a:rPr lang="en-US" sz="1200" baseline="0"/>
              <a:t> Chart</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8076760737625"/>
          <c:y val="0.20309978613784388"/>
          <c:w val="0.84090073306455915"/>
          <c:h val="0.55773873173260746"/>
        </c:manualLayout>
      </c:layout>
      <c:lineChart>
        <c:grouping val="standard"/>
        <c:varyColors val="0"/>
        <c:ser>
          <c:idx val="0"/>
          <c:order val="0"/>
          <c:tx>
            <c:strRef>
              <c:f>Date!$E$2</c:f>
              <c:strCache>
                <c:ptCount val="1"/>
                <c:pt idx="0">
                  <c:v>Total</c:v>
                </c:pt>
              </c:strCache>
            </c:strRef>
          </c:tx>
          <c:spPr>
            <a:ln w="28575" cap="rnd">
              <a:solidFill>
                <a:schemeClr val="accent5"/>
              </a:solidFill>
              <a:round/>
            </a:ln>
            <a:effectLst/>
          </c:spPr>
          <c:marker>
            <c:symbol val="none"/>
          </c:marker>
          <c:cat>
            <c:multiLvlStrRef>
              <c:f>Date!$D$3:$D$18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Date!$E$3:$E$18</c:f>
              <c:numCache>
                <c:formatCode>General</c:formatCode>
                <c:ptCount val="13"/>
                <c:pt idx="0">
                  <c:v>77084.97</c:v>
                </c:pt>
                <c:pt idx="1">
                  <c:v>144490.81000000003</c:v>
                </c:pt>
                <c:pt idx="2">
                  <c:v>107232.65999999997</c:v>
                </c:pt>
                <c:pt idx="3">
                  <c:v>96524.819999999992</c:v>
                </c:pt>
                <c:pt idx="4">
                  <c:v>59284.37999999999</c:v>
                </c:pt>
                <c:pt idx="5">
                  <c:v>131251.10999999999</c:v>
                </c:pt>
                <c:pt idx="6">
                  <c:v>51502.499999999993</c:v>
                </c:pt>
                <c:pt idx="7">
                  <c:v>112807.54999999999</c:v>
                </c:pt>
                <c:pt idx="8">
                  <c:v>88777.98000000001</c:v>
                </c:pt>
                <c:pt idx="9">
                  <c:v>52040.520000000004</c:v>
                </c:pt>
                <c:pt idx="10">
                  <c:v>62672.51</c:v>
                </c:pt>
                <c:pt idx="11">
                  <c:v>60179.01</c:v>
                </c:pt>
                <c:pt idx="12">
                  <c:v>11494.880000000001</c:v>
                </c:pt>
              </c:numCache>
            </c:numRef>
          </c:val>
          <c:smooth val="0"/>
          <c:extLst>
            <c:ext xmlns:c16="http://schemas.microsoft.com/office/drawing/2014/chart" uri="{C3380CC4-5D6E-409C-BE32-E72D297353CC}">
              <c16:uniqueId val="{00000000-859D-4F96-85E8-A0F96D036682}"/>
            </c:ext>
          </c:extLst>
        </c:ser>
        <c:dLbls>
          <c:showLegendKey val="0"/>
          <c:showVal val="0"/>
          <c:showCatName val="0"/>
          <c:showSerName val="0"/>
          <c:showPercent val="0"/>
          <c:showBubbleSize val="0"/>
        </c:dLbls>
        <c:smooth val="0"/>
        <c:axId val="1470334943"/>
        <c:axId val="1470336383"/>
      </c:lineChart>
      <c:catAx>
        <c:axId val="1470334943"/>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r>
                  <a:rPr lang="en-US"/>
                  <a:t>Month</a:t>
                </a:r>
              </a:p>
            </c:rich>
          </c:tx>
          <c:overlay val="0"/>
          <c:spPr>
            <a:solidFill>
              <a:schemeClr val="tx1">
                <a:lumMod val="75000"/>
                <a:lumOff val="25000"/>
              </a:schemeClr>
            </a:solidFill>
            <a:ln>
              <a:solidFill>
                <a:schemeClr val="tx1">
                  <a:lumMod val="65000"/>
                  <a:lumOff val="35000"/>
                </a:schemeClr>
              </a:solidFill>
            </a:ln>
            <a:effectLst/>
          </c:spPr>
          <c:txPr>
            <a:bodyPr rot="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470336383"/>
        <c:crosses val="autoZero"/>
        <c:auto val="1"/>
        <c:lblAlgn val="ctr"/>
        <c:lblOffset val="100"/>
        <c:noMultiLvlLbl val="0"/>
      </c:catAx>
      <c:valAx>
        <c:axId val="147033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470334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4.xml"/><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6.xml"/><Relationship Id="rId10" Type="http://schemas.openxmlformats.org/officeDocument/2006/relationships/image" Target="../media/image7.png"/><Relationship Id="rId4" Type="http://schemas.openxmlformats.org/officeDocument/2006/relationships/chart" Target="../charts/chart5.xml"/><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5</xdr:col>
      <xdr:colOff>30480</xdr:colOff>
      <xdr:row>2</xdr:row>
      <xdr:rowOff>7620</xdr:rowOff>
    </xdr:from>
    <xdr:to>
      <xdr:col>12</xdr:col>
      <xdr:colOff>335280</xdr:colOff>
      <xdr:row>17</xdr:row>
      <xdr:rowOff>7620</xdr:rowOff>
    </xdr:to>
    <xdr:graphicFrame macro="">
      <xdr:nvGraphicFramePr>
        <xdr:cNvPr id="2" name="Chart 1">
          <a:extLst>
            <a:ext uri="{FF2B5EF4-FFF2-40B4-BE49-F238E27FC236}">
              <a16:creationId xmlns:a16="http://schemas.microsoft.com/office/drawing/2014/main" id="{3C437F87-0EFD-91EC-CFBA-65C4B004E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114300</xdr:colOff>
      <xdr:row>9</xdr:row>
      <xdr:rowOff>45721</xdr:rowOff>
    </xdr:from>
    <xdr:to>
      <xdr:col>3</xdr:col>
      <xdr:colOff>1082040</xdr:colOff>
      <xdr:row>18</xdr:row>
      <xdr:rowOff>144781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3886258-F027-FC7E-6D12-C2F3AE0AEE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46960" y="1691641"/>
              <a:ext cx="18288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350520</xdr:colOff>
      <xdr:row>10</xdr:row>
      <xdr:rowOff>60961</xdr:rowOff>
    </xdr:from>
    <xdr:to>
      <xdr:col>4</xdr:col>
      <xdr:colOff>1280160</xdr:colOff>
      <xdr:row>20</xdr:row>
      <xdr:rowOff>60961</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D58E85B2-D42A-4A28-59B6-57D26E0BEAC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230880" y="1889761"/>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601980</xdr:colOff>
      <xdr:row>2</xdr:row>
      <xdr:rowOff>156210</xdr:rowOff>
    </xdr:from>
    <xdr:to>
      <xdr:col>14</xdr:col>
      <xdr:colOff>297180</xdr:colOff>
      <xdr:row>17</xdr:row>
      <xdr:rowOff>156210</xdr:rowOff>
    </xdr:to>
    <xdr:graphicFrame macro="">
      <xdr:nvGraphicFramePr>
        <xdr:cNvPr id="4" name="Chart 3">
          <a:extLst>
            <a:ext uri="{FF2B5EF4-FFF2-40B4-BE49-F238E27FC236}">
              <a16:creationId xmlns:a16="http://schemas.microsoft.com/office/drawing/2014/main" id="{875EFA5F-4571-30FF-2106-B9D795349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464820</xdr:colOff>
      <xdr:row>1</xdr:row>
      <xdr:rowOff>175260</xdr:rowOff>
    </xdr:from>
    <xdr:to>
      <xdr:col>14</xdr:col>
      <xdr:colOff>548640</xdr:colOff>
      <xdr:row>16</xdr:row>
      <xdr:rowOff>175260</xdr:rowOff>
    </xdr:to>
    <xdr:graphicFrame macro="">
      <xdr:nvGraphicFramePr>
        <xdr:cNvPr id="3" name="Chart 2">
          <a:extLst>
            <a:ext uri="{FF2B5EF4-FFF2-40B4-BE49-F238E27FC236}">
              <a16:creationId xmlns:a16="http://schemas.microsoft.com/office/drawing/2014/main" id="{6F864E2F-2336-9F5D-7073-D3604BF1A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403860</xdr:colOff>
      <xdr:row>3</xdr:row>
      <xdr:rowOff>167640</xdr:rowOff>
    </xdr:from>
    <xdr:to>
      <xdr:col>2</xdr:col>
      <xdr:colOff>0</xdr:colOff>
      <xdr:row>17</xdr:row>
      <xdr:rowOff>74295</xdr:rowOff>
    </xdr:to>
    <mc:AlternateContent xmlns:mc="http://schemas.openxmlformats.org/markup-compatibility/2006" xmlns:a14="http://schemas.microsoft.com/office/drawing/2010/main">
      <mc:Choice Requires="a14">
        <xdr:graphicFrame macro="">
          <xdr:nvGraphicFramePr>
            <xdr:cNvPr id="5" name="Order_Date 1">
              <a:extLst>
                <a:ext uri="{FF2B5EF4-FFF2-40B4-BE49-F238E27FC236}">
                  <a16:creationId xmlns:a16="http://schemas.microsoft.com/office/drawing/2014/main" id="{9CB5AEB4-410A-1AD4-2027-4ED83E2B5AE1}"/>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403860" y="71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129540</xdr:colOff>
      <xdr:row>18</xdr:row>
      <xdr:rowOff>38100</xdr:rowOff>
    </xdr:from>
    <xdr:to>
      <xdr:col>13</xdr:col>
      <xdr:colOff>114300</xdr:colOff>
      <xdr:row>24</xdr:row>
      <xdr:rowOff>144779</xdr:rowOff>
    </xdr:to>
    <mc:AlternateContent xmlns:mc="http://schemas.openxmlformats.org/markup-compatibility/2006" xmlns:a14="http://schemas.microsoft.com/office/drawing/2010/main">
      <mc:Choice Requires="a14">
        <xdr:graphicFrame macro="">
          <xdr:nvGraphicFramePr>
            <xdr:cNvPr id="2" name="Months (Order_Date)">
              <a:extLst>
                <a:ext uri="{FF2B5EF4-FFF2-40B4-BE49-F238E27FC236}">
                  <a16:creationId xmlns:a16="http://schemas.microsoft.com/office/drawing/2014/main" id="{4547F492-A86B-498C-63D7-AC32B58FCBD3}"/>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7307580" y="3329940"/>
              <a:ext cx="303276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38100</xdr:colOff>
      <xdr:row>0</xdr:row>
      <xdr:rowOff>121920</xdr:rowOff>
    </xdr:from>
    <xdr:to>
      <xdr:col>19</xdr:col>
      <xdr:colOff>510540</xdr:colOff>
      <xdr:row>2</xdr:row>
      <xdr:rowOff>137160</xdr:rowOff>
    </xdr:to>
    <xdr:sp macro="" textlink="">
      <xdr:nvSpPr>
        <xdr:cNvPr id="2" name="Rectangle: Rounded Corners 1">
          <a:extLst>
            <a:ext uri="{FF2B5EF4-FFF2-40B4-BE49-F238E27FC236}">
              <a16:creationId xmlns:a16="http://schemas.microsoft.com/office/drawing/2014/main" id="{AD9B159C-2ED6-7541-93D3-588D3C56B158}"/>
            </a:ext>
          </a:extLst>
        </xdr:cNvPr>
        <xdr:cNvSpPr/>
      </xdr:nvSpPr>
      <xdr:spPr>
        <a:xfrm>
          <a:off x="647700" y="121920"/>
          <a:ext cx="11445240" cy="381000"/>
        </a:xfrm>
        <a:prstGeom prst="roundRect">
          <a:avLst/>
        </a:prstGeom>
        <a:solidFill>
          <a:schemeClr val="tx1">
            <a:lumMod val="75000"/>
            <a:lumOff val="2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76200</xdr:colOff>
      <xdr:row>3</xdr:row>
      <xdr:rowOff>45720</xdr:rowOff>
    </xdr:from>
    <xdr:to>
      <xdr:col>11</xdr:col>
      <xdr:colOff>190500</xdr:colOff>
      <xdr:row>14</xdr:row>
      <xdr:rowOff>53340</xdr:rowOff>
    </xdr:to>
    <xdr:sp macro="" textlink="">
      <xdr:nvSpPr>
        <xdr:cNvPr id="3" name="Rectangle: Rounded Corners 2">
          <a:extLst>
            <a:ext uri="{FF2B5EF4-FFF2-40B4-BE49-F238E27FC236}">
              <a16:creationId xmlns:a16="http://schemas.microsoft.com/office/drawing/2014/main" id="{968BAB5D-5C5E-2952-076C-95CB5D08A39E}"/>
            </a:ext>
          </a:extLst>
        </xdr:cNvPr>
        <xdr:cNvSpPr/>
      </xdr:nvSpPr>
      <xdr:spPr>
        <a:xfrm>
          <a:off x="685800" y="594360"/>
          <a:ext cx="6210300" cy="2019300"/>
        </a:xfrm>
        <a:prstGeom prst="round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541020</xdr:colOff>
      <xdr:row>4</xdr:row>
      <xdr:rowOff>0</xdr:rowOff>
    </xdr:from>
    <xdr:to>
      <xdr:col>10</xdr:col>
      <xdr:colOff>510540</xdr:colOff>
      <xdr:row>13</xdr:row>
      <xdr:rowOff>45720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C1E994FA-C857-460C-A695-682D443462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417820" y="731520"/>
              <a:ext cx="118872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373380</xdr:colOff>
      <xdr:row>4</xdr:row>
      <xdr:rowOff>0</xdr:rowOff>
    </xdr:from>
    <xdr:to>
      <xdr:col>8</xdr:col>
      <xdr:colOff>464820</xdr:colOff>
      <xdr:row>13</xdr:row>
      <xdr:rowOff>45720</xdr:rowOff>
    </xdr:to>
    <mc:AlternateContent xmlns:mc="http://schemas.openxmlformats.org/markup-compatibility/2006" xmlns:a14="http://schemas.microsoft.com/office/drawing/2010/main">
      <mc:Choice Requires="a14">
        <xdr:graphicFrame macro="">
          <xdr:nvGraphicFramePr>
            <xdr:cNvPr id="5" name="Product_Category 1">
              <a:extLst>
                <a:ext uri="{FF2B5EF4-FFF2-40B4-BE49-F238E27FC236}">
                  <a16:creationId xmlns:a16="http://schemas.microsoft.com/office/drawing/2014/main" id="{C9A0B686-7866-46BD-95B3-4125857185D3}"/>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4030980" y="731520"/>
              <a:ext cx="131064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304800</xdr:colOff>
      <xdr:row>3</xdr:row>
      <xdr:rowOff>38100</xdr:rowOff>
    </xdr:from>
    <xdr:to>
      <xdr:col>15</xdr:col>
      <xdr:colOff>541020</xdr:colOff>
      <xdr:row>14</xdr:row>
      <xdr:rowOff>76200</xdr:rowOff>
    </xdr:to>
    <xdr:sp macro="" textlink="">
      <xdr:nvSpPr>
        <xdr:cNvPr id="7" name="Rectangle: Rounded Corners 6">
          <a:extLst>
            <a:ext uri="{FF2B5EF4-FFF2-40B4-BE49-F238E27FC236}">
              <a16:creationId xmlns:a16="http://schemas.microsoft.com/office/drawing/2014/main" id="{ADA0A57F-9200-3D41-1010-787CC7AE4A79}"/>
            </a:ext>
          </a:extLst>
        </xdr:cNvPr>
        <xdr:cNvSpPr/>
      </xdr:nvSpPr>
      <xdr:spPr>
        <a:xfrm>
          <a:off x="7010400" y="586740"/>
          <a:ext cx="2674620" cy="2049780"/>
        </a:xfrm>
        <a:prstGeom prst="round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220980</xdr:colOff>
      <xdr:row>6</xdr:row>
      <xdr:rowOff>83820</xdr:rowOff>
    </xdr:from>
    <xdr:to>
      <xdr:col>6</xdr:col>
      <xdr:colOff>205740</xdr:colOff>
      <xdr:row>13</xdr:row>
      <xdr:rowOff>7619</xdr:rowOff>
    </xdr:to>
    <mc:AlternateContent xmlns:mc="http://schemas.openxmlformats.org/markup-compatibility/2006" xmlns:a14="http://schemas.microsoft.com/office/drawing/2010/main">
      <mc:Choice Requires="a14">
        <xdr:graphicFrame macro="">
          <xdr:nvGraphicFramePr>
            <xdr:cNvPr id="8" name="Months (Order_Date) 1">
              <a:extLst>
                <a:ext uri="{FF2B5EF4-FFF2-40B4-BE49-F238E27FC236}">
                  <a16:creationId xmlns:a16="http://schemas.microsoft.com/office/drawing/2014/main" id="{24356D2F-A1A4-4D4E-AC07-F76651E8EDCE}"/>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830580" y="1181100"/>
              <a:ext cx="303276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342900</xdr:colOff>
      <xdr:row>4</xdr:row>
      <xdr:rowOff>7620</xdr:rowOff>
    </xdr:from>
    <xdr:to>
      <xdr:col>4</xdr:col>
      <xdr:colOff>327660</xdr:colOff>
      <xdr:row>5</xdr:row>
      <xdr:rowOff>76200</xdr:rowOff>
    </xdr:to>
    <xdr:sp macro="" textlink="">
      <xdr:nvSpPr>
        <xdr:cNvPr id="9" name="Rectangle: Rounded Corners 8">
          <a:extLst>
            <a:ext uri="{FF2B5EF4-FFF2-40B4-BE49-F238E27FC236}">
              <a16:creationId xmlns:a16="http://schemas.microsoft.com/office/drawing/2014/main" id="{428A2750-4C9F-5C0E-2068-BCED434A0B4B}"/>
            </a:ext>
          </a:extLst>
        </xdr:cNvPr>
        <xdr:cNvSpPr/>
      </xdr:nvSpPr>
      <xdr:spPr>
        <a:xfrm>
          <a:off x="952500" y="739140"/>
          <a:ext cx="1813560" cy="251460"/>
        </a:xfrm>
        <a:prstGeom prst="round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518160</xdr:colOff>
      <xdr:row>4</xdr:row>
      <xdr:rowOff>45720</xdr:rowOff>
    </xdr:from>
    <xdr:to>
      <xdr:col>2</xdr:col>
      <xdr:colOff>114251</xdr:colOff>
      <xdr:row>5</xdr:row>
      <xdr:rowOff>65075</xdr:rowOff>
    </xdr:to>
    <xdr:pic>
      <xdr:nvPicPr>
        <xdr:cNvPr id="10" name="Icon_Filters" descr="Filter with solid fill">
          <a:extLst>
            <a:ext uri="{FF2B5EF4-FFF2-40B4-BE49-F238E27FC236}">
              <a16:creationId xmlns:a16="http://schemas.microsoft.com/office/drawing/2014/main" id="{09765FAE-C82B-4FD0-AB2A-BC6B20AAC9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27760" y="777240"/>
          <a:ext cx="205691" cy="202235"/>
        </a:xfrm>
        <a:prstGeom prst="rect">
          <a:avLst/>
        </a:prstGeom>
      </xdr:spPr>
    </xdr:pic>
    <xdr:clientData/>
  </xdr:twoCellAnchor>
  <xdr:twoCellAnchor>
    <xdr:from>
      <xdr:col>2</xdr:col>
      <xdr:colOff>167640</xdr:colOff>
      <xdr:row>3</xdr:row>
      <xdr:rowOff>175260</xdr:rowOff>
    </xdr:from>
    <xdr:to>
      <xdr:col>3</xdr:col>
      <xdr:colOff>158324</xdr:colOff>
      <xdr:row>5</xdr:row>
      <xdr:rowOff>140077</xdr:rowOff>
    </xdr:to>
    <xdr:sp macro="" textlink="">
      <xdr:nvSpPr>
        <xdr:cNvPr id="12" name="TextBox_FiltersLabel">
          <a:extLst>
            <a:ext uri="{FF2B5EF4-FFF2-40B4-BE49-F238E27FC236}">
              <a16:creationId xmlns:a16="http://schemas.microsoft.com/office/drawing/2014/main" id="{D57E8DBF-469B-4F5D-9A8B-C1BC9D438044}"/>
            </a:ext>
          </a:extLst>
        </xdr:cNvPr>
        <xdr:cNvSpPr txBox="1"/>
      </xdr:nvSpPr>
      <xdr:spPr>
        <a:xfrm>
          <a:off x="1386840" y="723900"/>
          <a:ext cx="600284" cy="33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Filters</a:t>
          </a:r>
        </a:p>
      </xdr:txBody>
    </xdr:sp>
    <xdr:clientData/>
  </xdr:twoCellAnchor>
  <xdr:twoCellAnchor>
    <xdr:from>
      <xdr:col>11</xdr:col>
      <xdr:colOff>510540</xdr:colOff>
      <xdr:row>5</xdr:row>
      <xdr:rowOff>60960</xdr:rowOff>
    </xdr:from>
    <xdr:to>
      <xdr:col>15</xdr:col>
      <xdr:colOff>327660</xdr:colOff>
      <xdr:row>14</xdr:row>
      <xdr:rowOff>45720</xdr:rowOff>
    </xdr:to>
    <xdr:graphicFrame macro="">
      <xdr:nvGraphicFramePr>
        <xdr:cNvPr id="15" name="Chart 14">
          <a:extLst>
            <a:ext uri="{FF2B5EF4-FFF2-40B4-BE49-F238E27FC236}">
              <a16:creationId xmlns:a16="http://schemas.microsoft.com/office/drawing/2014/main" id="{C3FF0D3F-C155-4A90-BB1E-FBB73611C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106680</xdr:colOff>
      <xdr:row>14</xdr:row>
      <xdr:rowOff>167640</xdr:rowOff>
    </xdr:from>
    <xdr:to>
      <xdr:col>9</xdr:col>
      <xdr:colOff>243840</xdr:colOff>
      <xdr:row>30</xdr:row>
      <xdr:rowOff>38100</xdr:rowOff>
    </xdr:to>
    <xdr:sp macro="" textlink="">
      <xdr:nvSpPr>
        <xdr:cNvPr id="17" name="Rectangle: Rounded Corners 16">
          <a:extLst>
            <a:ext uri="{FF2B5EF4-FFF2-40B4-BE49-F238E27FC236}">
              <a16:creationId xmlns:a16="http://schemas.microsoft.com/office/drawing/2014/main" id="{8EE5A5CE-ADED-07B3-620A-7419DC012208}"/>
            </a:ext>
          </a:extLst>
        </xdr:cNvPr>
        <xdr:cNvSpPr/>
      </xdr:nvSpPr>
      <xdr:spPr>
        <a:xfrm>
          <a:off x="716280" y="2727960"/>
          <a:ext cx="5013960" cy="279654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388620</xdr:colOff>
      <xdr:row>17</xdr:row>
      <xdr:rowOff>30480</xdr:rowOff>
    </xdr:from>
    <xdr:to>
      <xdr:col>8</xdr:col>
      <xdr:colOff>426720</xdr:colOff>
      <xdr:row>29</xdr:row>
      <xdr:rowOff>60960</xdr:rowOff>
    </xdr:to>
    <xdr:graphicFrame macro="">
      <xdr:nvGraphicFramePr>
        <xdr:cNvPr id="18" name="Chart 17">
          <a:extLst>
            <a:ext uri="{FF2B5EF4-FFF2-40B4-BE49-F238E27FC236}">
              <a16:creationId xmlns:a16="http://schemas.microsoft.com/office/drawing/2014/main" id="{B534C8E9-BB2E-4F34-918A-FDF618F5A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365760</xdr:colOff>
      <xdr:row>14</xdr:row>
      <xdr:rowOff>167640</xdr:rowOff>
    </xdr:from>
    <xdr:to>
      <xdr:col>17</xdr:col>
      <xdr:colOff>411480</xdr:colOff>
      <xdr:row>29</xdr:row>
      <xdr:rowOff>160020</xdr:rowOff>
    </xdr:to>
    <xdr:sp macro="" textlink="">
      <xdr:nvSpPr>
        <xdr:cNvPr id="20" name="Rectangle: Rounded Corners 19">
          <a:extLst>
            <a:ext uri="{FF2B5EF4-FFF2-40B4-BE49-F238E27FC236}">
              <a16:creationId xmlns:a16="http://schemas.microsoft.com/office/drawing/2014/main" id="{BA77291C-16D9-7EB6-A6EF-943BBCCDAA90}"/>
            </a:ext>
          </a:extLst>
        </xdr:cNvPr>
        <xdr:cNvSpPr/>
      </xdr:nvSpPr>
      <xdr:spPr>
        <a:xfrm>
          <a:off x="5852160" y="2727960"/>
          <a:ext cx="4922520" cy="273558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121920</xdr:colOff>
      <xdr:row>17</xdr:row>
      <xdr:rowOff>15240</xdr:rowOff>
    </xdr:from>
    <xdr:to>
      <xdr:col>16</xdr:col>
      <xdr:colOff>586740</xdr:colOff>
      <xdr:row>28</xdr:row>
      <xdr:rowOff>152400</xdr:rowOff>
    </xdr:to>
    <xdr:graphicFrame macro="">
      <xdr:nvGraphicFramePr>
        <xdr:cNvPr id="21" name="Chart 20">
          <a:extLst>
            <a:ext uri="{FF2B5EF4-FFF2-40B4-BE49-F238E27FC236}">
              <a16:creationId xmlns:a16="http://schemas.microsoft.com/office/drawing/2014/main" id="{A282A7DB-A397-435E-A0F2-C9A0274FB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388620</xdr:colOff>
      <xdr:row>0</xdr:row>
      <xdr:rowOff>144780</xdr:rowOff>
    </xdr:from>
    <xdr:to>
      <xdr:col>16</xdr:col>
      <xdr:colOff>213360</xdr:colOff>
      <xdr:row>2</xdr:row>
      <xdr:rowOff>99060</xdr:rowOff>
    </xdr:to>
    <xdr:sp macro="" textlink="">
      <xdr:nvSpPr>
        <xdr:cNvPr id="22" name="TextBox 21">
          <a:extLst>
            <a:ext uri="{FF2B5EF4-FFF2-40B4-BE49-F238E27FC236}">
              <a16:creationId xmlns:a16="http://schemas.microsoft.com/office/drawing/2014/main" id="{2FED3609-645E-65C8-6674-A2E5742D4419}"/>
            </a:ext>
          </a:extLst>
        </xdr:cNvPr>
        <xdr:cNvSpPr txBox="1"/>
      </xdr:nvSpPr>
      <xdr:spPr>
        <a:xfrm>
          <a:off x="2827020" y="144780"/>
          <a:ext cx="7139940" cy="32004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rPr>
            <a:t>Sales</a:t>
          </a:r>
          <a:r>
            <a:rPr lang="en-IN" sz="1600" baseline="0">
              <a:solidFill>
                <a:schemeClr val="bg1"/>
              </a:solidFill>
            </a:rPr>
            <a:t> Data Analysis</a:t>
          </a:r>
          <a:endParaRPr lang="en-IN" sz="1600">
            <a:solidFill>
              <a:schemeClr val="bg1"/>
            </a:solidFill>
          </a:endParaRPr>
        </a:p>
      </xdr:txBody>
    </xdr:sp>
    <xdr:clientData/>
  </xdr:twoCellAnchor>
  <xdr:twoCellAnchor>
    <xdr:from>
      <xdr:col>16</xdr:col>
      <xdr:colOff>38100</xdr:colOff>
      <xdr:row>3</xdr:row>
      <xdr:rowOff>121920</xdr:rowOff>
    </xdr:from>
    <xdr:to>
      <xdr:col>19</xdr:col>
      <xdr:colOff>502920</xdr:colOff>
      <xdr:row>8</xdr:row>
      <xdr:rowOff>0</xdr:rowOff>
    </xdr:to>
    <xdr:sp macro="" textlink="">
      <xdr:nvSpPr>
        <xdr:cNvPr id="23" name="Rectangle: Rounded Corners 22">
          <a:extLst>
            <a:ext uri="{FF2B5EF4-FFF2-40B4-BE49-F238E27FC236}">
              <a16:creationId xmlns:a16="http://schemas.microsoft.com/office/drawing/2014/main" id="{982F585C-98E4-562B-0E8C-9578E6F9F044}"/>
            </a:ext>
          </a:extLst>
        </xdr:cNvPr>
        <xdr:cNvSpPr/>
      </xdr:nvSpPr>
      <xdr:spPr>
        <a:xfrm>
          <a:off x="9791700" y="670560"/>
          <a:ext cx="2293620" cy="79248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160020</xdr:colOff>
      <xdr:row>6</xdr:row>
      <xdr:rowOff>83820</xdr:rowOff>
    </xdr:from>
    <xdr:to>
      <xdr:col>19</xdr:col>
      <xdr:colOff>396240</xdr:colOff>
      <xdr:row>7</xdr:row>
      <xdr:rowOff>175260</xdr:rowOff>
    </xdr:to>
    <xdr:sp macro="" textlink="">
      <xdr:nvSpPr>
        <xdr:cNvPr id="24" name="TextBox 23">
          <a:extLst>
            <a:ext uri="{FF2B5EF4-FFF2-40B4-BE49-F238E27FC236}">
              <a16:creationId xmlns:a16="http://schemas.microsoft.com/office/drawing/2014/main" id="{52D54CE1-2642-4C42-CA08-FE1E8A567B21}"/>
            </a:ext>
          </a:extLst>
        </xdr:cNvPr>
        <xdr:cNvSpPr txBox="1"/>
      </xdr:nvSpPr>
      <xdr:spPr>
        <a:xfrm>
          <a:off x="9913620" y="1181100"/>
          <a:ext cx="2065020" cy="2743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a:solidFill>
                <a:schemeClr val="bg1"/>
              </a:solidFill>
            </a:rPr>
            <a:t>Sales</a:t>
          </a:r>
          <a:r>
            <a:rPr lang="en-IN" sz="1200" b="1" i="0" baseline="0">
              <a:solidFill>
                <a:schemeClr val="bg1"/>
              </a:solidFill>
            </a:rPr>
            <a:t> of Company </a:t>
          </a:r>
          <a:endParaRPr lang="en-IN" sz="1200" b="1" i="0">
            <a:solidFill>
              <a:schemeClr val="bg1"/>
            </a:solidFill>
          </a:endParaRPr>
        </a:p>
      </xdr:txBody>
    </xdr:sp>
    <xdr:clientData/>
  </xdr:twoCellAnchor>
  <xdr:oneCellAnchor>
    <xdr:from>
      <xdr:col>16</xdr:col>
      <xdr:colOff>22860</xdr:colOff>
      <xdr:row>3</xdr:row>
      <xdr:rowOff>121920</xdr:rowOff>
    </xdr:from>
    <xdr:ext cx="2316480" cy="563880"/>
    <xdr:sp macro="" textlink="Date!F20">
      <xdr:nvSpPr>
        <xdr:cNvPr id="25" name="TextBox 24">
          <a:extLst>
            <a:ext uri="{FF2B5EF4-FFF2-40B4-BE49-F238E27FC236}">
              <a16:creationId xmlns:a16="http://schemas.microsoft.com/office/drawing/2014/main" id="{CD2057FA-432E-1E80-3ED7-BE2AE0588E88}"/>
            </a:ext>
          </a:extLst>
        </xdr:cNvPr>
        <xdr:cNvSpPr txBox="1"/>
      </xdr:nvSpPr>
      <xdr:spPr>
        <a:xfrm>
          <a:off x="9776460" y="670560"/>
          <a:ext cx="2316480" cy="563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255FA3B-6D72-42EC-8F41-19B4F75E619A}" type="TxLink">
            <a:rPr lang="en-US" sz="2000" b="0" i="0" u="none" strike="noStrike">
              <a:solidFill>
                <a:srgbClr val="92D050"/>
              </a:solidFill>
              <a:latin typeface="Calibri"/>
              <a:ea typeface="Calibri"/>
              <a:cs typeface="Calibri"/>
            </a:rPr>
            <a:pPr algn="ctr"/>
            <a:t>₹ 1,055,344</a:t>
          </a:fld>
          <a:endParaRPr lang="en-IN" sz="2000">
            <a:solidFill>
              <a:srgbClr val="92D050"/>
            </a:solidFill>
          </a:endParaRPr>
        </a:p>
      </xdr:txBody>
    </xdr:sp>
    <xdr:clientData/>
  </xdr:oneCellAnchor>
  <xdr:twoCellAnchor>
    <xdr:from>
      <xdr:col>16</xdr:col>
      <xdr:colOff>45720</xdr:colOff>
      <xdr:row>8</xdr:row>
      <xdr:rowOff>91440</xdr:rowOff>
    </xdr:from>
    <xdr:to>
      <xdr:col>19</xdr:col>
      <xdr:colOff>510540</xdr:colOff>
      <xdr:row>12</xdr:row>
      <xdr:rowOff>152400</xdr:rowOff>
    </xdr:to>
    <xdr:sp macro="" textlink="">
      <xdr:nvSpPr>
        <xdr:cNvPr id="6" name="Rectangle: Rounded Corners 5">
          <a:extLst>
            <a:ext uri="{FF2B5EF4-FFF2-40B4-BE49-F238E27FC236}">
              <a16:creationId xmlns:a16="http://schemas.microsoft.com/office/drawing/2014/main" id="{8D141BE8-7BB6-46E0-9716-6E132F262D25}"/>
            </a:ext>
          </a:extLst>
        </xdr:cNvPr>
        <xdr:cNvSpPr/>
      </xdr:nvSpPr>
      <xdr:spPr>
        <a:xfrm>
          <a:off x="9799320" y="1554480"/>
          <a:ext cx="2293620" cy="79248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167640</xdr:colOff>
      <xdr:row>10</xdr:row>
      <xdr:rowOff>175260</xdr:rowOff>
    </xdr:from>
    <xdr:to>
      <xdr:col>19</xdr:col>
      <xdr:colOff>403860</xdr:colOff>
      <xdr:row>12</xdr:row>
      <xdr:rowOff>83820</xdr:rowOff>
    </xdr:to>
    <xdr:sp macro="" textlink="">
      <xdr:nvSpPr>
        <xdr:cNvPr id="11" name="TextBox 10">
          <a:extLst>
            <a:ext uri="{FF2B5EF4-FFF2-40B4-BE49-F238E27FC236}">
              <a16:creationId xmlns:a16="http://schemas.microsoft.com/office/drawing/2014/main" id="{EE1D6C9A-708D-44B8-B7CF-959E44A972F3}"/>
            </a:ext>
          </a:extLst>
        </xdr:cNvPr>
        <xdr:cNvSpPr txBox="1"/>
      </xdr:nvSpPr>
      <xdr:spPr>
        <a:xfrm>
          <a:off x="9921240" y="2004060"/>
          <a:ext cx="2065020" cy="2743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Average  Sales</a:t>
          </a:r>
          <a:r>
            <a:rPr lang="en-IN" sz="1200" b="1" baseline="0">
              <a:solidFill>
                <a:schemeClr val="bg1"/>
              </a:solidFill>
            </a:rPr>
            <a:t> Value</a:t>
          </a:r>
        </a:p>
      </xdr:txBody>
    </xdr:sp>
    <xdr:clientData/>
  </xdr:twoCellAnchor>
  <xdr:twoCellAnchor>
    <xdr:from>
      <xdr:col>16</xdr:col>
      <xdr:colOff>449580</xdr:colOff>
      <xdr:row>9</xdr:row>
      <xdr:rowOff>7620</xdr:rowOff>
    </xdr:from>
    <xdr:to>
      <xdr:col>19</xdr:col>
      <xdr:colOff>129540</xdr:colOff>
      <xdr:row>10</xdr:row>
      <xdr:rowOff>121920</xdr:rowOff>
    </xdr:to>
    <xdr:sp macro="" textlink="'Descriptive Statistics'!D4">
      <xdr:nvSpPr>
        <xdr:cNvPr id="13" name="TextBox 12">
          <a:extLst>
            <a:ext uri="{FF2B5EF4-FFF2-40B4-BE49-F238E27FC236}">
              <a16:creationId xmlns:a16="http://schemas.microsoft.com/office/drawing/2014/main" id="{FF05E606-2592-2100-8669-6B0058DCD3A9}"/>
            </a:ext>
          </a:extLst>
        </xdr:cNvPr>
        <xdr:cNvSpPr txBox="1"/>
      </xdr:nvSpPr>
      <xdr:spPr>
        <a:xfrm>
          <a:off x="10203180" y="1653540"/>
          <a:ext cx="1508760" cy="29718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63AEDC-576F-4A71-A637-51CA67B94020}" type="TxLink">
            <a:rPr lang="en-US" sz="2000" b="0" i="0" u="none" strike="noStrike">
              <a:solidFill>
                <a:schemeClr val="accent3"/>
              </a:solidFill>
              <a:latin typeface="Calibri"/>
              <a:ea typeface="Calibri"/>
              <a:cs typeface="Calibri"/>
            </a:rPr>
            <a:pPr algn="ctr"/>
            <a:t>976.0888</a:t>
          </a:fld>
          <a:endParaRPr lang="en-IN" sz="2000">
            <a:solidFill>
              <a:schemeClr val="accent3"/>
            </a:solidFill>
          </a:endParaRPr>
        </a:p>
      </xdr:txBody>
    </xdr:sp>
    <xdr:clientData/>
  </xdr:twoCellAnchor>
  <xdr:twoCellAnchor>
    <xdr:from>
      <xdr:col>10</xdr:col>
      <xdr:colOff>91440</xdr:colOff>
      <xdr:row>15</xdr:row>
      <xdr:rowOff>99060</xdr:rowOff>
    </xdr:from>
    <xdr:to>
      <xdr:col>13</xdr:col>
      <xdr:colOff>76200</xdr:colOff>
      <xdr:row>16</xdr:row>
      <xdr:rowOff>167640</xdr:rowOff>
    </xdr:to>
    <xdr:sp macro="" textlink="">
      <xdr:nvSpPr>
        <xdr:cNvPr id="32" name="Rectangle: Rounded Corners 31">
          <a:extLst>
            <a:ext uri="{FF2B5EF4-FFF2-40B4-BE49-F238E27FC236}">
              <a16:creationId xmlns:a16="http://schemas.microsoft.com/office/drawing/2014/main" id="{E5EB0620-EBDC-4CD2-AE9B-66C0EC2F9437}"/>
            </a:ext>
          </a:extLst>
        </xdr:cNvPr>
        <xdr:cNvSpPr/>
      </xdr:nvSpPr>
      <xdr:spPr>
        <a:xfrm>
          <a:off x="6187440" y="2842260"/>
          <a:ext cx="1813560" cy="251460"/>
        </a:xfrm>
        <a:prstGeom prst="round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152400</xdr:colOff>
      <xdr:row>15</xdr:row>
      <xdr:rowOff>106680</xdr:rowOff>
    </xdr:from>
    <xdr:to>
      <xdr:col>10</xdr:col>
      <xdr:colOff>395012</xdr:colOff>
      <xdr:row>16</xdr:row>
      <xdr:rowOff>161070</xdr:rowOff>
    </xdr:to>
    <xdr:pic>
      <xdr:nvPicPr>
        <xdr:cNvPr id="33" name="Icon_Sales" descr="Bar graph with upward trend with solid fill">
          <a:extLst>
            <a:ext uri="{FF2B5EF4-FFF2-40B4-BE49-F238E27FC236}">
              <a16:creationId xmlns:a16="http://schemas.microsoft.com/office/drawing/2014/main" id="{C2A9B8A9-10F1-471E-93AB-7311490DD0F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248400" y="2849880"/>
          <a:ext cx="242612" cy="237270"/>
        </a:xfrm>
        <a:prstGeom prst="rect">
          <a:avLst/>
        </a:prstGeom>
      </xdr:spPr>
    </xdr:pic>
    <xdr:clientData/>
  </xdr:twoCellAnchor>
  <xdr:twoCellAnchor>
    <xdr:from>
      <xdr:col>10</xdr:col>
      <xdr:colOff>480060</xdr:colOff>
      <xdr:row>15</xdr:row>
      <xdr:rowOff>99061</xdr:rowOff>
    </xdr:from>
    <xdr:to>
      <xdr:col>12</xdr:col>
      <xdr:colOff>365759</xdr:colOff>
      <xdr:row>16</xdr:row>
      <xdr:rowOff>137160</xdr:rowOff>
    </xdr:to>
    <xdr:sp macro="" textlink="">
      <xdr:nvSpPr>
        <xdr:cNvPr id="34" name="TextBox_SalesGrowthLabel">
          <a:extLst>
            <a:ext uri="{FF2B5EF4-FFF2-40B4-BE49-F238E27FC236}">
              <a16:creationId xmlns:a16="http://schemas.microsoft.com/office/drawing/2014/main" id="{1D979554-1DE1-43F6-A7A5-4C46F0AC8715}"/>
            </a:ext>
          </a:extLst>
        </xdr:cNvPr>
        <xdr:cNvSpPr txBox="1"/>
      </xdr:nvSpPr>
      <xdr:spPr>
        <a:xfrm>
          <a:off x="6576060" y="2842261"/>
          <a:ext cx="1104899" cy="220979"/>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Sales</a:t>
          </a:r>
          <a:r>
            <a:rPr lang="en-IN" sz="1200" b="1" baseline="0">
              <a:solidFill>
                <a:schemeClr val="bg1"/>
              </a:solidFill>
            </a:rPr>
            <a:t> </a:t>
          </a:r>
          <a:r>
            <a:rPr lang="en-IN" sz="1200" b="1">
              <a:solidFill>
                <a:schemeClr val="bg1"/>
              </a:solidFill>
            </a:rPr>
            <a:t>Growth</a:t>
          </a:r>
        </a:p>
      </xdr:txBody>
    </xdr:sp>
    <xdr:clientData/>
  </xdr:twoCellAnchor>
  <xdr:twoCellAnchor>
    <xdr:from>
      <xdr:col>1</xdr:col>
      <xdr:colOff>426720</xdr:colOff>
      <xdr:row>15</xdr:row>
      <xdr:rowOff>114300</xdr:rowOff>
    </xdr:from>
    <xdr:to>
      <xdr:col>5</xdr:col>
      <xdr:colOff>419100</xdr:colOff>
      <xdr:row>17</xdr:row>
      <xdr:rowOff>0</xdr:rowOff>
    </xdr:to>
    <xdr:sp macro="" textlink="">
      <xdr:nvSpPr>
        <xdr:cNvPr id="35" name="Rectangle: Rounded Corners 34">
          <a:extLst>
            <a:ext uri="{FF2B5EF4-FFF2-40B4-BE49-F238E27FC236}">
              <a16:creationId xmlns:a16="http://schemas.microsoft.com/office/drawing/2014/main" id="{F72695D9-180A-4764-90DA-576006EDA551}"/>
            </a:ext>
          </a:extLst>
        </xdr:cNvPr>
        <xdr:cNvSpPr/>
      </xdr:nvSpPr>
      <xdr:spPr>
        <a:xfrm>
          <a:off x="1036320" y="2857500"/>
          <a:ext cx="2430780" cy="251460"/>
        </a:xfrm>
        <a:prstGeom prst="round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457200</xdr:colOff>
      <xdr:row>15</xdr:row>
      <xdr:rowOff>76200</xdr:rowOff>
    </xdr:from>
    <xdr:to>
      <xdr:col>2</xdr:col>
      <xdr:colOff>179683</xdr:colOff>
      <xdr:row>17</xdr:row>
      <xdr:rowOff>38754</xdr:rowOff>
    </xdr:to>
    <xdr:pic>
      <xdr:nvPicPr>
        <xdr:cNvPr id="36" name="Icon_Product" descr="Continuous Improvement with solid fill">
          <a:extLst>
            <a:ext uri="{FF2B5EF4-FFF2-40B4-BE49-F238E27FC236}">
              <a16:creationId xmlns:a16="http://schemas.microsoft.com/office/drawing/2014/main" id="{3CE03837-21D1-4E7A-875E-7903E8184BA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66800" y="2819400"/>
          <a:ext cx="332083" cy="328314"/>
        </a:xfrm>
        <a:prstGeom prst="rect">
          <a:avLst/>
        </a:prstGeom>
      </xdr:spPr>
    </xdr:pic>
    <xdr:clientData/>
  </xdr:twoCellAnchor>
  <xdr:twoCellAnchor>
    <xdr:from>
      <xdr:col>2</xdr:col>
      <xdr:colOff>266700</xdr:colOff>
      <xdr:row>15</xdr:row>
      <xdr:rowOff>114300</xdr:rowOff>
    </xdr:from>
    <xdr:to>
      <xdr:col>5</xdr:col>
      <xdr:colOff>83252</xdr:colOff>
      <xdr:row>16</xdr:row>
      <xdr:rowOff>160020</xdr:rowOff>
    </xdr:to>
    <xdr:sp macro="" textlink="">
      <xdr:nvSpPr>
        <xdr:cNvPr id="37" name="TextBox_TopSellingCatagoriesLabel">
          <a:extLst>
            <a:ext uri="{FF2B5EF4-FFF2-40B4-BE49-F238E27FC236}">
              <a16:creationId xmlns:a16="http://schemas.microsoft.com/office/drawing/2014/main" id="{55EF3EAE-7D57-46E6-8C91-69937FF96854}"/>
            </a:ext>
          </a:extLst>
        </xdr:cNvPr>
        <xdr:cNvSpPr txBox="1"/>
      </xdr:nvSpPr>
      <xdr:spPr>
        <a:xfrm>
          <a:off x="1485900" y="2857500"/>
          <a:ext cx="1645352" cy="228600"/>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Selling Catagories</a:t>
          </a:r>
        </a:p>
      </xdr:txBody>
    </xdr:sp>
    <xdr:clientData/>
  </xdr:twoCellAnchor>
  <xdr:twoCellAnchor>
    <xdr:from>
      <xdr:col>11</xdr:col>
      <xdr:colOff>556260</xdr:colOff>
      <xdr:row>3</xdr:row>
      <xdr:rowOff>160020</xdr:rowOff>
    </xdr:from>
    <xdr:to>
      <xdr:col>14</xdr:col>
      <xdr:colOff>541020</xdr:colOff>
      <xdr:row>5</xdr:row>
      <xdr:rowOff>45720</xdr:rowOff>
    </xdr:to>
    <xdr:sp macro="" textlink="">
      <xdr:nvSpPr>
        <xdr:cNvPr id="38" name="Rectangle: Rounded Corners 37">
          <a:extLst>
            <a:ext uri="{FF2B5EF4-FFF2-40B4-BE49-F238E27FC236}">
              <a16:creationId xmlns:a16="http://schemas.microsoft.com/office/drawing/2014/main" id="{D580140B-417B-49DA-B12E-2DC453FA3EB9}"/>
            </a:ext>
          </a:extLst>
        </xdr:cNvPr>
        <xdr:cNvSpPr/>
      </xdr:nvSpPr>
      <xdr:spPr>
        <a:xfrm>
          <a:off x="7261860" y="708660"/>
          <a:ext cx="1813560" cy="251460"/>
        </a:xfrm>
        <a:prstGeom prst="round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571501</xdr:colOff>
      <xdr:row>3</xdr:row>
      <xdr:rowOff>160020</xdr:rowOff>
    </xdr:from>
    <xdr:to>
      <xdr:col>12</xdr:col>
      <xdr:colOff>213360</xdr:colOff>
      <xdr:row>5</xdr:row>
      <xdr:rowOff>32294</xdr:rowOff>
    </xdr:to>
    <xdr:pic>
      <xdr:nvPicPr>
        <xdr:cNvPr id="40" name="Graphic 39" descr="Earth globe: Africa and Europe with solid fill">
          <a:extLst>
            <a:ext uri="{FF2B5EF4-FFF2-40B4-BE49-F238E27FC236}">
              <a16:creationId xmlns:a16="http://schemas.microsoft.com/office/drawing/2014/main" id="{F500EEED-B18C-43FF-5084-FC5A4635C38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77101" y="708660"/>
          <a:ext cx="251459" cy="238034"/>
        </a:xfrm>
        <a:prstGeom prst="rect">
          <a:avLst/>
        </a:prstGeom>
      </xdr:spPr>
    </xdr:pic>
    <xdr:clientData/>
  </xdr:twoCellAnchor>
  <xdr:twoCellAnchor>
    <xdr:from>
      <xdr:col>12</xdr:col>
      <xdr:colOff>213360</xdr:colOff>
      <xdr:row>3</xdr:row>
      <xdr:rowOff>152400</xdr:rowOff>
    </xdr:from>
    <xdr:to>
      <xdr:col>14</xdr:col>
      <xdr:colOff>0</xdr:colOff>
      <xdr:row>5</xdr:row>
      <xdr:rowOff>22860</xdr:rowOff>
    </xdr:to>
    <xdr:sp macro="" textlink="">
      <xdr:nvSpPr>
        <xdr:cNvPr id="41" name="TextBox 40">
          <a:extLst>
            <a:ext uri="{FF2B5EF4-FFF2-40B4-BE49-F238E27FC236}">
              <a16:creationId xmlns:a16="http://schemas.microsoft.com/office/drawing/2014/main" id="{374D20D5-6782-C8F8-028A-1FA94A5C17A2}"/>
            </a:ext>
          </a:extLst>
        </xdr:cNvPr>
        <xdr:cNvSpPr txBox="1"/>
      </xdr:nvSpPr>
      <xdr:spPr>
        <a:xfrm>
          <a:off x="7528560" y="701040"/>
          <a:ext cx="1005840" cy="236220"/>
        </a:xfrm>
        <a:prstGeom prst="rect">
          <a:avLst/>
        </a:prstGeom>
        <a:solidFill>
          <a:schemeClr val="tx1">
            <a:lumMod val="65000"/>
            <a:lumOff val="3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Region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3.907669560183" createdVersion="8" refreshedVersion="8" minRefreshableVersion="3" recordCount="200" xr:uid="{5AB6E578-7872-4C49-BEA8-19A0D305DCF8}">
  <cacheSource type="worksheet">
    <worksheetSource ref="A1:M201" sheet="Dataset"/>
  </cacheSource>
  <cacheFields count="16">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5" maxValue="0.5"/>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5"/>
    </cacheField>
    <cacheField name="Profit" numFmtId="0">
      <sharedItems containsSemiMixedTypes="0" containsString="0" containsNumber="1" minValue="64.63" maxValue="769.46"/>
    </cacheField>
    <cacheField name="Total Purchase" numFmtId="0">
      <sharedItems containsSemiMixedTypes="0" containsString="0" containsNumber="1" minValue="309.42" maxValue="27435.62"/>
    </cacheField>
    <cacheField name="Dymanic Profit" numFmtId="0">
      <sharedItems containsSemiMixedTypes="0" containsString="0" containsNumber="1" minValue="38.776499999999999" maxValue="288.54899999999998"/>
    </cacheField>
    <cacheField name="Timestamp" numFmtId="22">
      <sharedItems containsSemiMixedTypes="0" containsNonDate="0" containsDate="1" containsString="0" minDate="2025-12-12T21:35:15" maxDate="2025-12-12T21:35:15"/>
    </cacheField>
    <cacheField name="Base Profit" numFmtId="0">
      <sharedItems containsSemiMixedTypes="0" containsString="0" containsNumber="1" minValue="64.13" maxValue="768.9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2120861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5"/>
    <x v="0"/>
    <n v="331.55"/>
    <n v="4144.3599999999997"/>
    <n v="155.41349999999997"/>
    <d v="2025-12-12T21:35:15"/>
    <n v="331.05"/>
  </r>
  <r>
    <s v="CUST012"/>
    <s v="Robert Anderson"/>
    <x v="0"/>
    <x v="1"/>
    <n v="1101.28"/>
    <n v="3"/>
    <n v="0.5"/>
    <x v="1"/>
    <n v="440.51"/>
    <n v="3303.84"/>
    <n v="165.19199999999998"/>
    <d v="2025-12-12T21:35:15"/>
    <n v="440.01"/>
  </r>
  <r>
    <s v="CUST017"/>
    <s v="James Taylor"/>
    <x v="1"/>
    <x v="0"/>
    <n v="713.34"/>
    <n v="17"/>
    <n v="0.5"/>
    <x v="2"/>
    <n v="285.33999999999997"/>
    <n v="12126.78"/>
    <n v="107.001"/>
    <d v="2025-12-12T21:35:15"/>
    <n v="284.83999999999997"/>
  </r>
  <r>
    <s v="CUST005"/>
    <s v="Robert Anderson"/>
    <x v="2"/>
    <x v="2"/>
    <n v="760.93"/>
    <n v="4"/>
    <n v="0.5"/>
    <x v="2"/>
    <n v="161.69999999999999"/>
    <n v="3043.72"/>
    <n v="114.13949999999998"/>
    <d v="2025-12-12T21:35:15"/>
    <n v="161.19999999999999"/>
  </r>
  <r>
    <s v="CUST030"/>
    <s v="James Wilson"/>
    <x v="3"/>
    <x v="0"/>
    <n v="847"/>
    <n v="12"/>
    <n v="0.5"/>
    <x v="3"/>
    <n v="271.04000000000002"/>
    <n v="10164"/>
    <n v="127.05"/>
    <d v="2025-12-12T21:35:15"/>
    <n v="270.54000000000002"/>
  </r>
  <r>
    <s v="CUST007"/>
    <s v="Michael Anderson"/>
    <x v="3"/>
    <x v="3"/>
    <n v="965.64"/>
    <n v="8"/>
    <n v="0.5"/>
    <x v="4"/>
    <n v="304.18"/>
    <n v="7725.12"/>
    <n v="144.846"/>
    <d v="2025-12-12T21:35:15"/>
    <n v="303.68"/>
  </r>
  <r>
    <s v="CUST001"/>
    <s v="Linda Wilson"/>
    <x v="0"/>
    <x v="2"/>
    <n v="1317.53"/>
    <n v="12"/>
    <n v="0.5"/>
    <x v="4"/>
    <n v="312.91000000000003"/>
    <n v="15810.36"/>
    <n v="197.62949999999998"/>
    <d v="2025-12-12T21:35:15"/>
    <n v="312.41000000000003"/>
  </r>
  <r>
    <s v="CUST026"/>
    <s v="Mary Davis"/>
    <x v="1"/>
    <x v="3"/>
    <n v="1074.47"/>
    <n v="6"/>
    <n v="0.5"/>
    <x v="5"/>
    <n v="300.85000000000002"/>
    <n v="6446.82"/>
    <n v="161.1705"/>
    <d v="2025-12-12T21:35:15"/>
    <n v="300.35000000000002"/>
  </r>
  <r>
    <s v="CUST009"/>
    <s v="Linda Jackson"/>
    <x v="4"/>
    <x v="0"/>
    <n v="501.54"/>
    <n v="11"/>
    <n v="0.5"/>
    <x v="5"/>
    <n v="190.59"/>
    <n v="5516.9400000000005"/>
    <n v="75.230999999999995"/>
    <d v="2025-12-12T21:35:15"/>
    <n v="190.09"/>
  </r>
  <r>
    <s v="CUST010"/>
    <s v="David Thomas"/>
    <x v="4"/>
    <x v="1"/>
    <n v="737.31"/>
    <n v="2"/>
    <n v="0.5"/>
    <x v="5"/>
    <n v="350.22"/>
    <n v="1474.62"/>
    <n v="110.59649999999999"/>
    <d v="2025-12-12T21:35:15"/>
    <n v="349.72"/>
  </r>
  <r>
    <s v="CUST014"/>
    <s v="Emma Davis"/>
    <x v="0"/>
    <x v="4"/>
    <n v="1572.82"/>
    <n v="6"/>
    <n v="0.5"/>
    <x v="6"/>
    <n v="672.38"/>
    <n v="9436.92"/>
    <n v="235.92299999999997"/>
    <d v="2025-12-12T21:35:15"/>
    <n v="671.88"/>
  </r>
  <r>
    <s v="CUST014"/>
    <s v="David Thomas"/>
    <x v="4"/>
    <x v="0"/>
    <n v="1343.13"/>
    <n v="14"/>
    <n v="0.5"/>
    <x v="7"/>
    <n v="456.66"/>
    <n v="18803.82"/>
    <n v="201.46950000000001"/>
    <d v="2025-12-12T21:35:15"/>
    <n v="456.16"/>
  </r>
  <r>
    <s v="CUST007"/>
    <s v="Michael Anderson"/>
    <x v="4"/>
    <x v="0"/>
    <n v="1191.58"/>
    <n v="14"/>
    <n v="0.5"/>
    <x v="8"/>
    <n v="452.8"/>
    <n v="16682.12"/>
    <n v="178.73699999999999"/>
    <d v="2025-12-12T21:35:15"/>
    <n v="452.3"/>
  </r>
  <r>
    <s v="CUST023"/>
    <s v="Robert Anderson"/>
    <x v="0"/>
    <x v="3"/>
    <n v="822.28"/>
    <n v="7"/>
    <n v="0.5"/>
    <x v="8"/>
    <n v="273.41000000000003"/>
    <n v="5755.96"/>
    <n v="123.34199999999998"/>
    <d v="2025-12-12T21:35:15"/>
    <n v="272.91000000000003"/>
  </r>
  <r>
    <s v="CUST029"/>
    <s v="David Smith"/>
    <x v="3"/>
    <x v="3"/>
    <n v="521.66999999999996"/>
    <n v="15"/>
    <n v="0.5"/>
    <x v="9"/>
    <n v="155.19999999999999"/>
    <n v="7825.0499999999993"/>
    <n v="78.250499999999988"/>
    <d v="2025-12-12T21:35:15"/>
    <n v="154.69999999999999"/>
  </r>
  <r>
    <s v="CUST005"/>
    <s v="Sarah Anderson"/>
    <x v="2"/>
    <x v="2"/>
    <n v="1502.93"/>
    <n v="14"/>
    <n v="0.5"/>
    <x v="10"/>
    <n v="300.58999999999997"/>
    <n v="21041.02"/>
    <n v="225.43950000000001"/>
    <d v="2025-12-12T21:35:15"/>
    <n v="300.08999999999997"/>
  </r>
  <r>
    <s v="CUST008"/>
    <s v="Robert Anderson"/>
    <x v="2"/>
    <x v="0"/>
    <n v="877.58"/>
    <n v="10"/>
    <n v="0.5"/>
    <x v="11"/>
    <n v="298.38"/>
    <n v="8775.8000000000011"/>
    <n v="131.637"/>
    <d v="2025-12-12T21:35:15"/>
    <n v="297.88"/>
  </r>
  <r>
    <s v="CUST001"/>
    <s v="Lisa Thomas"/>
    <x v="0"/>
    <x v="0"/>
    <n v="636.70000000000005"/>
    <n v="4"/>
    <n v="0.5"/>
    <x v="11"/>
    <n v="203.74"/>
    <n v="2546.8000000000002"/>
    <n v="95.50500000000001"/>
    <d v="2025-12-12T21:35:15"/>
    <n v="203.24"/>
  </r>
  <r>
    <s v="CUST006"/>
    <s v="Mary Jackson"/>
    <x v="0"/>
    <x v="0"/>
    <n v="1506.14"/>
    <n v="13"/>
    <n v="0.5"/>
    <x v="12"/>
    <n v="481.96"/>
    <n v="19579.82"/>
    <n v="225.92100000000002"/>
    <d v="2025-12-12T21:35:15"/>
    <n v="481.46"/>
  </r>
  <r>
    <s v="CUST026"/>
    <s v="Mary Davis"/>
    <x v="4"/>
    <x v="2"/>
    <n v="645.02"/>
    <n v="4"/>
    <n v="0.5"/>
    <x v="13"/>
    <n v="161.26"/>
    <n v="2580.08"/>
    <n v="96.753"/>
    <d v="2025-12-12T21:35:15"/>
    <n v="160.76"/>
  </r>
  <r>
    <s v="CUST007"/>
    <s v="Lisa Davis"/>
    <x v="2"/>
    <x v="1"/>
    <n v="953.3"/>
    <n v="11"/>
    <n v="0.5"/>
    <x v="14"/>
    <n v="476.65"/>
    <n v="10486.3"/>
    <n v="142.99499999999998"/>
    <d v="2025-12-12T21:35:15"/>
    <n v="476.15"/>
  </r>
  <r>
    <s v="CUST022"/>
    <s v="Robert Anderson"/>
    <x v="3"/>
    <x v="2"/>
    <n v="388.56"/>
    <n v="14"/>
    <n v="0.5"/>
    <x v="15"/>
    <n v="82.57"/>
    <n v="5439.84"/>
    <n v="58.283999999999999"/>
    <d v="2025-12-12T21:35:15"/>
    <n v="82.07"/>
  </r>
  <r>
    <s v="CUST019"/>
    <s v="Mary Davis"/>
    <x v="0"/>
    <x v="0"/>
    <n v="743.17"/>
    <n v="9"/>
    <n v="0.5"/>
    <x v="15"/>
    <n v="297.27"/>
    <n v="6688.53"/>
    <n v="111.4755"/>
    <d v="2025-12-12T21:35:15"/>
    <n v="296.77"/>
  </r>
  <r>
    <s v="CUST023"/>
    <s v="Mary Davis"/>
    <x v="4"/>
    <x v="2"/>
    <n v="706.37"/>
    <n v="6"/>
    <n v="0.5"/>
    <x v="15"/>
    <n v="176.59"/>
    <n v="4238.22"/>
    <n v="105.9555"/>
    <d v="2025-12-12T21:35:15"/>
    <n v="176.09"/>
  </r>
  <r>
    <s v="CUST012"/>
    <s v="Mary Davis"/>
    <x v="4"/>
    <x v="4"/>
    <n v="925.31"/>
    <n v="8"/>
    <n v="0.5"/>
    <x v="16"/>
    <n v="374.75"/>
    <n v="7402.48"/>
    <n v="138.79649999999998"/>
    <d v="2025-12-12T21:35:15"/>
    <n v="374.25"/>
  </r>
  <r>
    <s v="CUST010"/>
    <s v="Linda Brown"/>
    <x v="2"/>
    <x v="2"/>
    <n v="1173.1199999999999"/>
    <n v="18"/>
    <n v="0.5"/>
    <x v="16"/>
    <n v="293.27999999999997"/>
    <n v="21116.159999999996"/>
    <n v="175.96799999999999"/>
    <d v="2025-12-12T21:35:15"/>
    <n v="292.77999999999997"/>
  </r>
  <r>
    <s v="CUST030"/>
    <s v="John Brown"/>
    <x v="3"/>
    <x v="3"/>
    <n v="675.54"/>
    <n v="17"/>
    <n v="0.5"/>
    <x v="17"/>
    <n v="236.44"/>
    <n v="11484.18"/>
    <n v="101.33099999999999"/>
    <d v="2025-12-12T21:35:15"/>
    <n v="235.94"/>
  </r>
  <r>
    <s v="CUST007"/>
    <s v="Robert Anderson"/>
    <x v="4"/>
    <x v="0"/>
    <n v="939.09"/>
    <n v="2"/>
    <n v="0.5"/>
    <x v="18"/>
    <n v="356.85"/>
    <n v="1878.18"/>
    <n v="140.86349999999999"/>
    <d v="2025-12-12T21:35:15"/>
    <n v="356.35"/>
  </r>
  <r>
    <s v="CUST028"/>
    <s v="Linda Taylor"/>
    <x v="1"/>
    <x v="4"/>
    <n v="983.34"/>
    <n v="19"/>
    <n v="0.5"/>
    <x v="19"/>
    <n v="398.25"/>
    <n v="18683.46"/>
    <n v="147.501"/>
    <d v="2025-12-12T21:35:15"/>
    <n v="397.75"/>
  </r>
  <r>
    <s v="CUST028"/>
    <s v="James Wilson"/>
    <x v="2"/>
    <x v="2"/>
    <n v="801.21"/>
    <n v="3"/>
    <n v="0.5"/>
    <x v="19"/>
    <n v="160.24"/>
    <n v="2403.63"/>
    <n v="120.1815"/>
    <d v="2025-12-12T21:35:15"/>
    <n v="159.74"/>
  </r>
  <r>
    <s v="CUST025"/>
    <s v="David Brown"/>
    <x v="3"/>
    <x v="2"/>
    <n v="1450.71"/>
    <n v="5"/>
    <n v="0.5"/>
    <x v="20"/>
    <n v="326.41000000000003"/>
    <n v="7253.55"/>
    <n v="217.60650000000001"/>
    <d v="2025-12-12T21:35:15"/>
    <n v="325.91000000000003"/>
  </r>
  <r>
    <s v="CUST022"/>
    <s v="David Davis"/>
    <x v="4"/>
    <x v="0"/>
    <n v="1023.21"/>
    <n v="18"/>
    <n v="0.5"/>
    <x v="21"/>
    <n v="388.82"/>
    <n v="18417.78"/>
    <n v="153.48150000000001"/>
    <d v="2025-12-12T21:35:15"/>
    <n v="388.32"/>
  </r>
  <r>
    <s v="CUST001"/>
    <s v="Mary Jackson"/>
    <x v="0"/>
    <x v="3"/>
    <n v="853.72"/>
    <n v="5"/>
    <n v="0.5"/>
    <x v="21"/>
    <n v="253.98"/>
    <n v="4268.6000000000004"/>
    <n v="128.05799999999999"/>
    <d v="2025-12-12T21:35:15"/>
    <n v="253.48"/>
  </r>
  <r>
    <s v="CUST021"/>
    <s v="Sarah Anderson"/>
    <x v="2"/>
    <x v="2"/>
    <n v="967.89"/>
    <n v="10"/>
    <n v="0.5"/>
    <x v="22"/>
    <n v="217.78"/>
    <n v="9678.9"/>
    <n v="145.18349999999998"/>
    <d v="2025-12-12T21:35:15"/>
    <n v="217.28"/>
  </r>
  <r>
    <s v="CUST015"/>
    <s v="Linda Taylor"/>
    <x v="3"/>
    <x v="4"/>
    <n v="1200.9000000000001"/>
    <n v="14"/>
    <n v="0.5"/>
    <x v="22"/>
    <n v="513.38"/>
    <n v="16812.600000000002"/>
    <n v="180.13500000000002"/>
    <d v="2025-12-12T21:35:15"/>
    <n v="512.88"/>
  </r>
  <r>
    <s v="CUST012"/>
    <s v="Michael Anderson"/>
    <x v="0"/>
    <x v="0"/>
    <n v="472.38"/>
    <n v="12"/>
    <n v="0.5"/>
    <x v="22"/>
    <n v="151.16"/>
    <n v="5668.5599999999995"/>
    <n v="70.856999999999999"/>
    <d v="2025-12-12T21:35:15"/>
    <n v="150.66"/>
  </r>
  <r>
    <s v="CUST019"/>
    <s v="David Brown"/>
    <x v="1"/>
    <x v="4"/>
    <n v="840.92"/>
    <n v="9"/>
    <n v="0.5"/>
    <x v="22"/>
    <n v="359.49"/>
    <n v="7568.28"/>
    <n v="126.13799999999999"/>
    <d v="2025-12-12T21:35:15"/>
    <n v="358.99"/>
  </r>
  <r>
    <s v="CUST028"/>
    <s v="Lisa Davis"/>
    <x v="4"/>
    <x v="3"/>
    <n v="1410.06"/>
    <n v="11"/>
    <n v="0.5"/>
    <x v="23"/>
    <n v="468.84"/>
    <n v="15510.66"/>
    <n v="211.50899999999999"/>
    <d v="2025-12-12T21:35:15"/>
    <n v="468.34"/>
  </r>
  <r>
    <s v="CUST008"/>
    <s v="Mary Wilson"/>
    <x v="4"/>
    <x v="3"/>
    <n v="773.09"/>
    <n v="13"/>
    <n v="0.5"/>
    <x v="23"/>
    <n v="229.99"/>
    <n v="10050.17"/>
    <n v="115.9635"/>
    <d v="2025-12-12T21:35:15"/>
    <n v="229.49"/>
  </r>
  <r>
    <s v="CUST016"/>
    <s v="Emma Wilson"/>
    <x v="1"/>
    <x v="0"/>
    <n v="580.42999999999995"/>
    <n v="19"/>
    <n v="0.5"/>
    <x v="24"/>
    <n v="197.35"/>
    <n v="11028.169999999998"/>
    <n v="87.064499999999995"/>
    <d v="2025-12-12T21:35:15"/>
    <n v="196.85"/>
  </r>
  <r>
    <s v="CUST005"/>
    <s v="David Smith"/>
    <x v="2"/>
    <x v="0"/>
    <n v="1151.21"/>
    <n v="15"/>
    <n v="0.5"/>
    <x v="25"/>
    <n v="414.44"/>
    <n v="17268.150000000001"/>
    <n v="172.6815"/>
    <d v="2025-12-12T21:35:15"/>
    <n v="413.94"/>
  </r>
  <r>
    <s v="CUST028"/>
    <s v="James Wilson"/>
    <x v="4"/>
    <x v="4"/>
    <n v="1025.98"/>
    <n v="5"/>
    <n v="0.5"/>
    <x v="26"/>
    <n v="369.35"/>
    <n v="5129.8999999999996"/>
    <n v="153.89699999999999"/>
    <d v="2025-12-12T21:35:15"/>
    <n v="368.85"/>
  </r>
  <r>
    <s v="CUST023"/>
    <s v="David Davis"/>
    <x v="1"/>
    <x v="4"/>
    <n v="556.41999999999996"/>
    <n v="11"/>
    <n v="0.5"/>
    <x v="26"/>
    <n v="212.83"/>
    <n v="6120.62"/>
    <n v="83.462999999999994"/>
    <d v="2025-12-12T21:35:15"/>
    <n v="212.33"/>
  </r>
  <r>
    <s v="CUST021"/>
    <s v="James Wilson"/>
    <x v="4"/>
    <x v="0"/>
    <n v="840.85"/>
    <n v="19"/>
    <n v="0.5"/>
    <x v="27"/>
    <n v="302.70999999999998"/>
    <n v="15976.15"/>
    <n v="126.1275"/>
    <d v="2025-12-12T21:35:15"/>
    <n v="302.20999999999998"/>
  </r>
  <r>
    <s v="CUST026"/>
    <s v="Emma Wilson"/>
    <x v="3"/>
    <x v="3"/>
    <n v="1227.25"/>
    <n v="12"/>
    <n v="0.5"/>
    <x v="27"/>
    <n v="365.11"/>
    <n v="14727"/>
    <n v="184.08750000000001"/>
    <d v="2025-12-12T21:35:15"/>
    <n v="364.61"/>
  </r>
  <r>
    <s v="CUST017"/>
    <s v="Linda Davis"/>
    <x v="4"/>
    <x v="2"/>
    <n v="856.7"/>
    <n v="2"/>
    <n v="0.5"/>
    <x v="28"/>
    <n v="214.18"/>
    <n v="1713.4"/>
    <n v="128.505"/>
    <d v="2025-12-12T21:35:15"/>
    <n v="213.68"/>
  </r>
  <r>
    <s v="CUST025"/>
    <s v="David Davis"/>
    <x v="4"/>
    <x v="4"/>
    <n v="1225.42"/>
    <n v="8"/>
    <n v="0.5"/>
    <x v="28"/>
    <n v="468.72"/>
    <n v="9803.36"/>
    <n v="183.81300000000002"/>
    <d v="2025-12-12T21:35:15"/>
    <n v="468.22"/>
  </r>
  <r>
    <s v="CUST011"/>
    <s v="Mary Davis"/>
    <x v="3"/>
    <x v="4"/>
    <n v="1001.57"/>
    <n v="12"/>
    <n v="0.5"/>
    <x v="29"/>
    <n v="450.71"/>
    <n v="12018.84"/>
    <n v="150.2355"/>
    <d v="2025-12-12T21:35:15"/>
    <n v="450.21"/>
  </r>
  <r>
    <s v="CUST021"/>
    <s v="Michael Anderson"/>
    <x v="1"/>
    <x v="3"/>
    <n v="1186.8499999999999"/>
    <n v="19"/>
    <n v="0.5"/>
    <x v="30"/>
    <n v="332.32"/>
    <n v="22550.149999999998"/>
    <n v="178.02749999999997"/>
    <d v="2025-12-12T21:35:15"/>
    <n v="331.82"/>
  </r>
  <r>
    <s v="CUST008"/>
    <s v="John Brown"/>
    <x v="2"/>
    <x v="2"/>
    <n v="775.45"/>
    <n v="6"/>
    <n v="0.5"/>
    <x v="31"/>
    <n v="174.48"/>
    <n v="4652.7000000000007"/>
    <n v="116.3175"/>
    <d v="2025-12-12T21:35:15"/>
    <n v="173.98"/>
  </r>
  <r>
    <s v="CUST007"/>
    <s v="Linda Jackson"/>
    <x v="2"/>
    <x v="2"/>
    <n v="1021.47"/>
    <n v="6"/>
    <n v="0.5"/>
    <x v="32"/>
    <n v="242.6"/>
    <n v="6128.82"/>
    <n v="153.22049999999999"/>
    <d v="2025-12-12T21:35:15"/>
    <n v="242.1"/>
  </r>
  <r>
    <s v="CUST015"/>
    <s v="James Wilson"/>
    <x v="2"/>
    <x v="1"/>
    <n v="1226.6199999999999"/>
    <n v="7"/>
    <n v="0.5"/>
    <x v="33"/>
    <n v="551.98"/>
    <n v="8586.34"/>
    <n v="183.99299999999997"/>
    <d v="2025-12-12T21:35:15"/>
    <n v="551.48"/>
  </r>
  <r>
    <s v="CUST030"/>
    <s v="Sarah Davis"/>
    <x v="2"/>
    <x v="3"/>
    <n v="1086.93"/>
    <n v="2"/>
    <n v="0.5"/>
    <x v="34"/>
    <n v="380.43"/>
    <n v="2173.86"/>
    <n v="163.0395"/>
    <d v="2025-12-12T21:35:15"/>
    <n v="379.93"/>
  </r>
  <r>
    <s v="CUST002"/>
    <s v="Lisa Davis"/>
    <x v="0"/>
    <x v="0"/>
    <n v="942.9"/>
    <n v="18"/>
    <n v="0.5"/>
    <x v="35"/>
    <n v="339.44"/>
    <n v="16972.2"/>
    <n v="141.435"/>
    <d v="2025-12-12T21:35:15"/>
    <n v="338.94"/>
  </r>
  <r>
    <s v="CUST009"/>
    <s v="Emma Davis"/>
    <x v="3"/>
    <x v="2"/>
    <n v="818.8"/>
    <n v="15"/>
    <n v="0.5"/>
    <x v="36"/>
    <n v="173.99"/>
    <n v="12282"/>
    <n v="122.82"/>
    <d v="2025-12-12T21:35:15"/>
    <n v="173.49"/>
  </r>
  <r>
    <s v="CUST005"/>
    <s v="Robert Anderson"/>
    <x v="2"/>
    <x v="3"/>
    <n v="919.04"/>
    <n v="10"/>
    <n v="0.5"/>
    <x v="36"/>
    <n v="257.33"/>
    <n v="9190.4"/>
    <n v="137.85599999999999"/>
    <d v="2025-12-12T21:35:15"/>
    <n v="256.83"/>
  </r>
  <r>
    <s v="CUST030"/>
    <s v="Emma Taylor"/>
    <x v="4"/>
    <x v="0"/>
    <n v="973.26"/>
    <n v="11"/>
    <n v="0.5"/>
    <x v="37"/>
    <n v="389.3"/>
    <n v="10705.86"/>
    <n v="145.989"/>
    <d v="2025-12-12T21:35:15"/>
    <n v="388.8"/>
  </r>
  <r>
    <s v="CUST029"/>
    <s v="Sarah Davis"/>
    <x v="3"/>
    <x v="2"/>
    <n v="741.61"/>
    <n v="1"/>
    <n v="0.5"/>
    <x v="38"/>
    <n v="148.32"/>
    <n v="741.61"/>
    <n v="111.2415"/>
    <d v="2025-12-12T21:35:15"/>
    <n v="147.82"/>
  </r>
  <r>
    <s v="CUST003"/>
    <s v="Emma Davis"/>
    <x v="3"/>
    <x v="0"/>
    <n v="1248.82"/>
    <n v="2"/>
    <n v="0.5"/>
    <x v="39"/>
    <n v="449.58"/>
    <n v="2497.64"/>
    <n v="187.32299999999998"/>
    <d v="2025-12-12T21:35:15"/>
    <n v="449.08"/>
  </r>
  <r>
    <s v="CUST012"/>
    <s v="Mary Wilson"/>
    <x v="0"/>
    <x v="1"/>
    <n v="1360.36"/>
    <n v="17"/>
    <n v="0.5"/>
    <x v="39"/>
    <n v="680.18"/>
    <n v="23126.12"/>
    <n v="204.05399999999997"/>
    <d v="2025-12-12T21:35:15"/>
    <n v="679.68"/>
  </r>
  <r>
    <s v="CUST021"/>
    <s v="Mary Davis"/>
    <x v="1"/>
    <x v="0"/>
    <n v="1383.3"/>
    <n v="8"/>
    <n v="0.5"/>
    <x v="40"/>
    <n v="497.99"/>
    <n v="11066.4"/>
    <n v="207.49499999999998"/>
    <d v="2025-12-12T21:35:15"/>
    <n v="497.49"/>
  </r>
  <r>
    <s v="CUST010"/>
    <s v="David Brown"/>
    <x v="4"/>
    <x v="4"/>
    <n v="488.99"/>
    <n v="9"/>
    <n v="0.5"/>
    <x v="41"/>
    <n v="220.05"/>
    <n v="4400.91"/>
    <n v="73.348500000000001"/>
    <d v="2025-12-12T21:35:15"/>
    <n v="219.55"/>
  </r>
  <r>
    <s v="CUST026"/>
    <s v="Mary Davis"/>
    <x v="1"/>
    <x v="3"/>
    <n v="933.71"/>
    <n v="17"/>
    <n v="0.5"/>
    <x v="42"/>
    <n v="294.12"/>
    <n v="15873.07"/>
    <n v="140.0565"/>
    <d v="2025-12-12T21:35:15"/>
    <n v="293.62"/>
  </r>
  <r>
    <s v="CUST003"/>
    <s v="James Davis"/>
    <x v="0"/>
    <x v="2"/>
    <n v="1005.53"/>
    <n v="17"/>
    <n v="0.5"/>
    <x v="42"/>
    <n v="201.11"/>
    <n v="17094.009999999998"/>
    <n v="150.8295"/>
    <d v="2025-12-12T21:35:15"/>
    <n v="200.61"/>
  </r>
  <r>
    <s v="CUST029"/>
    <s v="Emma Wilson"/>
    <x v="2"/>
    <x v="2"/>
    <n v="1100.0999999999999"/>
    <n v="5"/>
    <n v="0.5"/>
    <x v="43"/>
    <n v="261.27"/>
    <n v="5500.5"/>
    <n v="165.01499999999999"/>
    <d v="2025-12-12T21:35:15"/>
    <n v="260.77"/>
  </r>
  <r>
    <s v="CUST003"/>
    <s v="James Wilson"/>
    <x v="3"/>
    <x v="3"/>
    <n v="1034.7"/>
    <n v="15"/>
    <n v="0.5"/>
    <x v="44"/>
    <n v="307.82"/>
    <n v="15520.5"/>
    <n v="155.20500000000001"/>
    <d v="2025-12-12T21:35:15"/>
    <n v="307.32"/>
  </r>
  <r>
    <s v="CUST002"/>
    <s v="Mary Davis"/>
    <x v="2"/>
    <x v="0"/>
    <n v="876.44"/>
    <n v="12"/>
    <n v="0.5"/>
    <x v="45"/>
    <n v="333.05"/>
    <n v="10517.28"/>
    <n v="131.46600000000001"/>
    <d v="2025-12-12T21:35:15"/>
    <n v="332.55"/>
  </r>
  <r>
    <s v="CUST020"/>
    <s v="David Brown"/>
    <x v="0"/>
    <x v="3"/>
    <n v="1371.34"/>
    <n v="5"/>
    <n v="0.5"/>
    <x v="45"/>
    <n v="455.97"/>
    <n v="6856.7"/>
    <n v="205.70099999999999"/>
    <d v="2025-12-12T21:35:15"/>
    <n v="455.47"/>
  </r>
  <r>
    <s v="CUST021"/>
    <s v="Mary Jackson"/>
    <x v="3"/>
    <x v="2"/>
    <n v="1020.26"/>
    <n v="11"/>
    <n v="0.5"/>
    <x v="46"/>
    <n v="242.31"/>
    <n v="11222.86"/>
    <n v="153.03899999999999"/>
    <d v="2025-12-12T21:35:15"/>
    <n v="241.81"/>
  </r>
  <r>
    <s v="CUST008"/>
    <s v="James Davis"/>
    <x v="4"/>
    <x v="4"/>
    <n v="804.81"/>
    <n v="1"/>
    <n v="0.5"/>
    <x v="47"/>
    <n v="344.06"/>
    <n v="804.81"/>
    <n v="120.72149999999999"/>
    <d v="2025-12-12T21:35:15"/>
    <n v="343.56"/>
  </r>
  <r>
    <s v="CUST030"/>
    <s v="David Brown"/>
    <x v="4"/>
    <x v="2"/>
    <n v="608.66"/>
    <n v="1"/>
    <n v="0.5"/>
    <x v="48"/>
    <n v="144.56"/>
    <n v="608.66"/>
    <n v="91.298999999999992"/>
    <d v="2025-12-12T21:35:15"/>
    <n v="144.06"/>
  </r>
  <r>
    <s v="CUST020"/>
    <s v="Linda Moore"/>
    <x v="2"/>
    <x v="4"/>
    <n v="981.2"/>
    <n v="19"/>
    <n v="0.5"/>
    <x v="49"/>
    <n v="441.54"/>
    <n v="18642.8"/>
    <n v="147.18"/>
    <d v="2025-12-12T21:35:15"/>
    <n v="441.04"/>
  </r>
  <r>
    <s v="CUST024"/>
    <s v="David Brown"/>
    <x v="1"/>
    <x v="2"/>
    <n v="539.77"/>
    <n v="10"/>
    <n v="0.5"/>
    <x v="50"/>
    <n v="114.7"/>
    <n v="5397.7"/>
    <n v="80.965499999999992"/>
    <d v="2025-12-12T21:35:15"/>
    <n v="114.2"/>
  </r>
  <r>
    <s v="CUST012"/>
    <s v="David Anderson"/>
    <x v="2"/>
    <x v="0"/>
    <n v="804.45"/>
    <n v="5"/>
    <n v="0.5"/>
    <x v="50"/>
    <n v="257.42"/>
    <n v="4022.25"/>
    <n v="120.6675"/>
    <d v="2025-12-12T21:35:15"/>
    <n v="256.92"/>
  </r>
  <r>
    <s v="CUST024"/>
    <s v="Emma Davis"/>
    <x v="0"/>
    <x v="2"/>
    <n v="1526.6"/>
    <n v="13"/>
    <n v="0.5"/>
    <x v="51"/>
    <n v="305.32"/>
    <n v="19845.8"/>
    <n v="228.98999999999998"/>
    <d v="2025-12-12T21:35:15"/>
    <n v="304.82"/>
  </r>
  <r>
    <s v="CUST012"/>
    <s v="Linda Wilson"/>
    <x v="0"/>
    <x v="2"/>
    <n v="1215.26"/>
    <n v="5"/>
    <n v="0.5"/>
    <x v="52"/>
    <n v="258.24"/>
    <n v="6076.3"/>
    <n v="182.28899999999999"/>
    <d v="2025-12-12T21:35:15"/>
    <n v="257.74"/>
  </r>
  <r>
    <s v="CUST005"/>
    <s v="Linda Taylor"/>
    <x v="4"/>
    <x v="3"/>
    <n v="1261.3399999999999"/>
    <n v="3"/>
    <n v="0.5"/>
    <x v="53"/>
    <n v="441.47"/>
    <n v="3784.0199999999995"/>
    <n v="189.20099999999999"/>
    <d v="2025-12-12T21:35:15"/>
    <n v="440.97"/>
  </r>
  <r>
    <s v="CUST004"/>
    <s v="Lisa Thomas"/>
    <x v="3"/>
    <x v="3"/>
    <n v="518.07000000000005"/>
    <n v="7"/>
    <n v="0.5"/>
    <x v="54"/>
    <n v="172.26"/>
    <n v="3626.4900000000002"/>
    <n v="77.71050000000001"/>
    <d v="2025-12-12T21:35:15"/>
    <n v="171.76"/>
  </r>
  <r>
    <s v="CUST026"/>
    <s v="Linda Wilson"/>
    <x v="0"/>
    <x v="4"/>
    <n v="1111.3399999999999"/>
    <n v="1"/>
    <n v="0.5"/>
    <x v="55"/>
    <n v="500.1"/>
    <n v="1111.3399999999999"/>
    <n v="166.70099999999999"/>
    <d v="2025-12-12T21:35:15"/>
    <n v="499.6"/>
  </r>
  <r>
    <s v="CUST030"/>
    <s v="Mary Davis"/>
    <x v="1"/>
    <x v="1"/>
    <n v="1291.47"/>
    <n v="18"/>
    <n v="0.5"/>
    <x v="56"/>
    <n v="581.16"/>
    <n v="23246.46"/>
    <n v="193.72049999999999"/>
    <d v="2025-12-12T21:35:15"/>
    <n v="580.66"/>
  </r>
  <r>
    <s v="CUST007"/>
    <s v="David Brown"/>
    <x v="3"/>
    <x v="0"/>
    <n v="679.71"/>
    <n v="19"/>
    <n v="0.5"/>
    <x v="57"/>
    <n v="271.88"/>
    <n v="12914.490000000002"/>
    <n v="101.95650000000001"/>
    <d v="2025-12-12T21:35:15"/>
    <n v="271.38"/>
  </r>
  <r>
    <s v="CUST020"/>
    <s v="Linda Jackson"/>
    <x v="1"/>
    <x v="3"/>
    <n v="1143.69"/>
    <n v="17"/>
    <n v="0.5"/>
    <x v="57"/>
    <n v="400.29"/>
    <n v="19442.73"/>
    <n v="171.55350000000001"/>
    <d v="2025-12-12T21:35:15"/>
    <n v="399.79"/>
  </r>
  <r>
    <s v="CUST028"/>
    <s v="Linda Brown"/>
    <x v="4"/>
    <x v="2"/>
    <n v="790.08"/>
    <n v="7"/>
    <n v="0.5"/>
    <x v="58"/>
    <n v="177.77"/>
    <n v="5530.56"/>
    <n v="118.512"/>
    <d v="2025-12-12T21:35:15"/>
    <n v="177.27"/>
  </r>
  <r>
    <s v="CUST005"/>
    <s v="Lisa Davis"/>
    <x v="4"/>
    <x v="0"/>
    <n v="1070.68"/>
    <n v="7"/>
    <n v="0.5"/>
    <x v="58"/>
    <n v="406.86"/>
    <n v="7494.76"/>
    <n v="160.602"/>
    <d v="2025-12-12T21:35:15"/>
    <n v="406.36"/>
  </r>
  <r>
    <s v="CUST015"/>
    <s v="David Thomas"/>
    <x v="0"/>
    <x v="1"/>
    <n v="1168.8900000000001"/>
    <n v="4"/>
    <n v="0.5"/>
    <x v="59"/>
    <n v="526"/>
    <n v="4675.5600000000004"/>
    <n v="175.33350000000002"/>
    <d v="2025-12-12T21:35:15"/>
    <n v="525.5"/>
  </r>
  <r>
    <s v="CUST003"/>
    <s v="James Davis"/>
    <x v="2"/>
    <x v="2"/>
    <n v="1335.87"/>
    <n v="17"/>
    <n v="0.5"/>
    <x v="59"/>
    <n v="333.97"/>
    <n v="22709.789999999997"/>
    <n v="200.38049999999998"/>
    <d v="2025-12-12T21:35:15"/>
    <n v="333.47"/>
  </r>
  <r>
    <s v="CUST023"/>
    <s v="David Brown"/>
    <x v="1"/>
    <x v="3"/>
    <n v="873.7"/>
    <n v="9"/>
    <n v="0.5"/>
    <x v="60"/>
    <n v="305.8"/>
    <n v="7863.3"/>
    <n v="131.05500000000001"/>
    <d v="2025-12-12T21:35:15"/>
    <n v="305.3"/>
  </r>
  <r>
    <s v="CUST004"/>
    <s v="Sarah Davis"/>
    <x v="0"/>
    <x v="4"/>
    <n v="1443.98"/>
    <n v="19"/>
    <n v="0.5"/>
    <x v="61"/>
    <n v="649.79"/>
    <n v="27435.62"/>
    <n v="216.59700000000001"/>
    <d v="2025-12-12T21:35:15"/>
    <n v="649.29"/>
  </r>
  <r>
    <s v="CUST023"/>
    <s v="James Wilson"/>
    <x v="1"/>
    <x v="4"/>
    <n v="1154.33"/>
    <n v="11"/>
    <n v="0.5"/>
    <x v="62"/>
    <n v="441.53"/>
    <n v="12697.63"/>
    <n v="173.14949999999999"/>
    <d v="2025-12-12T21:35:15"/>
    <n v="441.03"/>
  </r>
  <r>
    <s v="CUST022"/>
    <s v="Linda Brown"/>
    <x v="2"/>
    <x v="0"/>
    <n v="1264.49"/>
    <n v="16"/>
    <n v="0.5"/>
    <x v="62"/>
    <n v="480.51"/>
    <n v="20231.84"/>
    <n v="189.67349999999999"/>
    <d v="2025-12-12T21:35:15"/>
    <n v="480.01"/>
  </r>
  <r>
    <s v="CUST007"/>
    <s v="Emma Taylor"/>
    <x v="0"/>
    <x v="3"/>
    <n v="1101.55"/>
    <n v="4"/>
    <n v="0.5"/>
    <x v="63"/>
    <n v="346.99"/>
    <n v="4406.2"/>
    <n v="165.23249999999999"/>
    <d v="2025-12-12T21:35:15"/>
    <n v="346.49"/>
  </r>
  <r>
    <s v="CUST013"/>
    <s v="Robert Anderson"/>
    <x v="2"/>
    <x v="3"/>
    <n v="727.73"/>
    <n v="1"/>
    <n v="0.5"/>
    <x v="64"/>
    <n v="229.23"/>
    <n v="727.73"/>
    <n v="109.15949999999999"/>
    <d v="2025-12-12T21:35:15"/>
    <n v="228.73"/>
  </r>
  <r>
    <s v="CUST027"/>
    <s v="Emma Davis"/>
    <x v="1"/>
    <x v="4"/>
    <n v="875.41"/>
    <n v="13"/>
    <n v="0.5"/>
    <x v="64"/>
    <n v="334.84"/>
    <n v="11380.33"/>
    <n v="131.3115"/>
    <d v="2025-12-12T21:35:15"/>
    <n v="334.34"/>
  </r>
  <r>
    <s v="CUST003"/>
    <s v="James Wilson"/>
    <x v="0"/>
    <x v="2"/>
    <n v="1158.94"/>
    <n v="19"/>
    <n v="0.5"/>
    <x v="65"/>
    <n v="231.79"/>
    <n v="22019.86"/>
    <n v="173.84100000000001"/>
    <d v="2025-12-12T21:35:15"/>
    <n v="231.29"/>
  </r>
  <r>
    <s v="CUST018"/>
    <s v="Mary Jackson"/>
    <x v="2"/>
    <x v="0"/>
    <n v="966.3"/>
    <n v="2"/>
    <n v="0.5"/>
    <x v="66"/>
    <n v="328.54"/>
    <n v="1932.6"/>
    <n v="144.94499999999999"/>
    <d v="2025-12-12T21:35:15"/>
    <n v="328.04"/>
  </r>
  <r>
    <s v="CUST020"/>
    <s v="James Taylor"/>
    <x v="2"/>
    <x v="0"/>
    <n v="917.48"/>
    <n v="6"/>
    <n v="0.5"/>
    <x v="67"/>
    <n v="366.99"/>
    <n v="5504.88"/>
    <n v="137.62199999999999"/>
    <d v="2025-12-12T21:35:15"/>
    <n v="366.49"/>
  </r>
  <r>
    <s v="CUST029"/>
    <s v="Emma Wilson"/>
    <x v="0"/>
    <x v="3"/>
    <n v="1172.97"/>
    <n v="7"/>
    <n v="0.5"/>
    <x v="68"/>
    <n v="348.96"/>
    <n v="8210.7900000000009"/>
    <n v="175.94550000000001"/>
    <d v="2025-12-12T21:35:15"/>
    <n v="348.46"/>
  </r>
  <r>
    <s v="CUST021"/>
    <s v="James Wilson"/>
    <x v="3"/>
    <x v="1"/>
    <n v="1205.82"/>
    <n v="11"/>
    <n v="0.5"/>
    <x v="68"/>
    <n v="542.62"/>
    <n v="13264.019999999999"/>
    <n v="180.87299999999999"/>
    <d v="2025-12-12T21:35:15"/>
    <n v="542.12"/>
  </r>
  <r>
    <s v="CUST017"/>
    <s v="Sarah Davis"/>
    <x v="0"/>
    <x v="4"/>
    <n v="826.93"/>
    <n v="10"/>
    <n v="0.5"/>
    <x v="69"/>
    <n v="297.69"/>
    <n v="8269.2999999999993"/>
    <n v="124.03949999999999"/>
    <d v="2025-12-12T21:35:15"/>
    <n v="297.19"/>
  </r>
  <r>
    <s v="CUST003"/>
    <s v="James Wilson"/>
    <x v="4"/>
    <x v="1"/>
    <n v="902.19"/>
    <n v="12"/>
    <n v="0.5"/>
    <x v="69"/>
    <n v="451.1"/>
    <n v="10826.28"/>
    <n v="135.32849999999999"/>
    <d v="2025-12-12T21:35:15"/>
    <n v="450.6"/>
  </r>
  <r>
    <s v="CUST027"/>
    <s v="Emma Davis"/>
    <x v="3"/>
    <x v="0"/>
    <n v="585.97"/>
    <n v="17"/>
    <n v="0.5"/>
    <x v="70"/>
    <n v="210.95"/>
    <n v="9961.49"/>
    <n v="87.895499999999998"/>
    <d v="2025-12-12T21:35:15"/>
    <n v="210.45"/>
  </r>
  <r>
    <s v="CUST016"/>
    <s v="Michael Anderson"/>
    <x v="3"/>
    <x v="1"/>
    <n v="990.19"/>
    <n v="8"/>
    <n v="0.5"/>
    <x v="70"/>
    <n v="445.59"/>
    <n v="7921.52"/>
    <n v="148.52850000000001"/>
    <d v="2025-12-12T21:35:15"/>
    <n v="445.09"/>
  </r>
  <r>
    <s v="CUST008"/>
    <s v="David Davis"/>
    <x v="4"/>
    <x v="2"/>
    <n v="1014.09"/>
    <n v="13"/>
    <n v="0.5"/>
    <x v="71"/>
    <n v="202.82"/>
    <n v="13183.17"/>
    <n v="152.11349999999999"/>
    <d v="2025-12-12T21:35:15"/>
    <n v="202.32"/>
  </r>
  <r>
    <s v="CUST012"/>
    <s v="Lisa Davis"/>
    <x v="3"/>
    <x v="2"/>
    <n v="925.29"/>
    <n v="17"/>
    <n v="0.5"/>
    <x v="72"/>
    <n v="231.32"/>
    <n v="15729.93"/>
    <n v="138.79349999999999"/>
    <d v="2025-12-12T21:35:15"/>
    <n v="230.82"/>
  </r>
  <r>
    <s v="CUST025"/>
    <s v="Mary Jackson"/>
    <x v="1"/>
    <x v="3"/>
    <n v="1286.54"/>
    <n v="8"/>
    <n v="0.5"/>
    <x v="73"/>
    <n v="450.29"/>
    <n v="10292.32"/>
    <n v="192.98099999999999"/>
    <d v="2025-12-12T21:35:15"/>
    <n v="449.79"/>
  </r>
  <r>
    <s v="CUST014"/>
    <s v="Sarah Davis"/>
    <x v="2"/>
    <x v="0"/>
    <n v="961.62"/>
    <n v="8"/>
    <n v="0.5"/>
    <x v="74"/>
    <n v="307.72000000000003"/>
    <n v="7692.96"/>
    <n v="144.24299999999999"/>
    <d v="2025-12-12T21:35:15"/>
    <n v="307.22000000000003"/>
  </r>
  <r>
    <s v="CUST008"/>
    <s v="James Wilson"/>
    <x v="1"/>
    <x v="0"/>
    <n v="1081.1400000000001"/>
    <n v="19"/>
    <n v="0.5"/>
    <x v="74"/>
    <n v="367.59"/>
    <n v="20541.660000000003"/>
    <n v="162.17100000000002"/>
    <d v="2025-12-12T21:35:15"/>
    <n v="367.09"/>
  </r>
  <r>
    <s v="CUST015"/>
    <s v="James Wilson"/>
    <x v="0"/>
    <x v="1"/>
    <n v="1923.66"/>
    <n v="9"/>
    <n v="0.5"/>
    <x v="75"/>
    <n v="769.46"/>
    <n v="17312.940000000002"/>
    <n v="288.54899999999998"/>
    <d v="2025-12-12T21:35:15"/>
    <n v="768.96"/>
  </r>
  <r>
    <s v="CUST025"/>
    <s v="Emma Taylor"/>
    <x v="4"/>
    <x v="1"/>
    <n v="728.71"/>
    <n v="14"/>
    <n v="0.5"/>
    <x v="76"/>
    <n v="327.92"/>
    <n v="10201.94"/>
    <n v="109.3065"/>
    <d v="2025-12-12T21:35:15"/>
    <n v="327.42"/>
  </r>
  <r>
    <s v="CUST019"/>
    <s v="Linda Jackson"/>
    <x v="4"/>
    <x v="1"/>
    <n v="1301.8900000000001"/>
    <n v="7"/>
    <n v="0.5"/>
    <x v="76"/>
    <n v="553.29999999999995"/>
    <n v="9113.2300000000014"/>
    <n v="195.2835"/>
    <d v="2025-12-12T21:35:15"/>
    <n v="552.79999999999995"/>
  </r>
  <r>
    <s v="CUST024"/>
    <s v="Emma Taylor"/>
    <x v="1"/>
    <x v="0"/>
    <n v="980.18"/>
    <n v="16"/>
    <n v="0.5"/>
    <x v="77"/>
    <n v="352.86"/>
    <n v="15682.88"/>
    <n v="147.02699999999999"/>
    <d v="2025-12-12T21:35:15"/>
    <n v="352.36"/>
  </r>
  <r>
    <s v="CUST027"/>
    <s v="James Wilson"/>
    <x v="0"/>
    <x v="1"/>
    <n v="697.57"/>
    <n v="17"/>
    <n v="0.5"/>
    <x v="78"/>
    <n v="313.91000000000003"/>
    <n v="11858.69"/>
    <n v="104.63550000000001"/>
    <d v="2025-12-12T21:35:15"/>
    <n v="313.41000000000003"/>
  </r>
  <r>
    <s v="CUST006"/>
    <s v="David Anderson"/>
    <x v="0"/>
    <x v="3"/>
    <n v="1193.6099999999999"/>
    <n v="1"/>
    <n v="0.5"/>
    <x v="78"/>
    <n v="355.1"/>
    <n v="1193.6099999999999"/>
    <n v="179.04149999999998"/>
    <d v="2025-12-12T21:35:15"/>
    <n v="354.6"/>
  </r>
  <r>
    <s v="CUST009"/>
    <s v="Emma Davis"/>
    <x v="2"/>
    <x v="2"/>
    <n v="771.02"/>
    <n v="1"/>
    <n v="0.5"/>
    <x v="79"/>
    <n v="192.76"/>
    <n v="771.02"/>
    <n v="115.65299999999999"/>
    <d v="2025-12-12T21:35:15"/>
    <n v="192.26"/>
  </r>
  <r>
    <s v="CUST003"/>
    <s v="Linda Moore"/>
    <x v="3"/>
    <x v="1"/>
    <n v="661.09"/>
    <n v="1"/>
    <n v="0.5"/>
    <x v="80"/>
    <n v="264.44"/>
    <n v="661.09"/>
    <n v="99.163499999999999"/>
    <d v="2025-12-12T21:35:15"/>
    <n v="263.94"/>
  </r>
  <r>
    <s v="CUST012"/>
    <s v="David Brown"/>
    <x v="0"/>
    <x v="2"/>
    <n v="688.83"/>
    <n v="15"/>
    <n v="0.5"/>
    <x v="81"/>
    <n v="172.21"/>
    <n v="10332.450000000001"/>
    <n v="103.3245"/>
    <d v="2025-12-12T21:35:15"/>
    <n v="171.71"/>
  </r>
  <r>
    <s v="CUST013"/>
    <s v="Linda Wilson"/>
    <x v="4"/>
    <x v="0"/>
    <n v="1249.0999999999999"/>
    <n v="4"/>
    <n v="0.5"/>
    <x v="82"/>
    <n v="474.66"/>
    <n v="4996.3999999999996"/>
    <n v="187.36499999999998"/>
    <d v="2025-12-12T21:35:15"/>
    <n v="474.16"/>
  </r>
  <r>
    <s v="CUST008"/>
    <s v="James Wilson"/>
    <x v="1"/>
    <x v="4"/>
    <n v="1014.22"/>
    <n v="14"/>
    <n v="0.5"/>
    <x v="83"/>
    <n v="433.58"/>
    <n v="14199.08"/>
    <n v="152.13300000000001"/>
    <d v="2025-12-12T21:35:15"/>
    <n v="433.08"/>
  </r>
  <r>
    <s v="CUST025"/>
    <s v="Lisa Davis"/>
    <x v="1"/>
    <x v="0"/>
    <n v="1010.58"/>
    <n v="2"/>
    <n v="0.5"/>
    <x v="84"/>
    <n v="343.6"/>
    <n v="2021.16"/>
    <n v="151.58699999999999"/>
    <d v="2025-12-12T21:35:15"/>
    <n v="343.1"/>
  </r>
  <r>
    <s v="CUST026"/>
    <s v="Mary Wilson"/>
    <x v="3"/>
    <x v="3"/>
    <n v="957.29"/>
    <n v="4"/>
    <n v="0.5"/>
    <x v="84"/>
    <n v="318.3"/>
    <n v="3829.16"/>
    <n v="143.59349999999998"/>
    <d v="2025-12-12T21:35:15"/>
    <n v="317.8"/>
  </r>
  <r>
    <s v="CUST001"/>
    <s v="Lisa Thomas"/>
    <x v="3"/>
    <x v="3"/>
    <n v="1077.92"/>
    <n v="3"/>
    <n v="0.5"/>
    <x v="85"/>
    <n v="358.41"/>
    <n v="3233.76"/>
    <n v="161.68800000000002"/>
    <d v="2025-12-12T21:35:15"/>
    <n v="357.91"/>
  </r>
  <r>
    <s v="CUST028"/>
    <s v="Linda Brown"/>
    <x v="2"/>
    <x v="1"/>
    <n v="1163.01"/>
    <n v="5"/>
    <n v="0.5"/>
    <x v="86"/>
    <n v="581.5"/>
    <n v="5815.05"/>
    <n v="174.45149999999998"/>
    <d v="2025-12-12T21:35:15"/>
    <n v="581"/>
  </r>
  <r>
    <s v="CUST025"/>
    <s v="Lisa Thomas"/>
    <x v="1"/>
    <x v="4"/>
    <n v="1014.56"/>
    <n v="10"/>
    <n v="0.5"/>
    <x v="87"/>
    <n v="410.9"/>
    <n v="10145.599999999999"/>
    <n v="152.184"/>
    <d v="2025-12-12T21:35:15"/>
    <n v="410.4"/>
  </r>
  <r>
    <s v="CUST019"/>
    <s v="James Taylor"/>
    <x v="2"/>
    <x v="2"/>
    <n v="718.04"/>
    <n v="14"/>
    <n v="0.5"/>
    <x v="88"/>
    <n v="179.51"/>
    <n v="10052.56"/>
    <n v="107.70599999999999"/>
    <d v="2025-12-12T21:35:15"/>
    <n v="179.01"/>
  </r>
  <r>
    <s v="CUST004"/>
    <s v="James Taylor"/>
    <x v="4"/>
    <x v="1"/>
    <n v="1277.8499999999999"/>
    <n v="18"/>
    <n v="0.5"/>
    <x v="88"/>
    <n v="511.14"/>
    <n v="23001.3"/>
    <n v="191.67749999999998"/>
    <d v="2025-12-12T21:35:15"/>
    <n v="510.64"/>
  </r>
  <r>
    <s v="CUST024"/>
    <s v="James Wilson"/>
    <x v="3"/>
    <x v="2"/>
    <n v="706.73"/>
    <n v="1"/>
    <n v="0.5"/>
    <x v="88"/>
    <n v="150.18"/>
    <n v="706.73"/>
    <n v="106.0095"/>
    <d v="2025-12-12T21:35:15"/>
    <n v="149.68"/>
  </r>
  <r>
    <s v="CUST002"/>
    <s v="Linda Brown"/>
    <x v="1"/>
    <x v="2"/>
    <n v="1410.59"/>
    <n v="15"/>
    <n v="0.5"/>
    <x v="89"/>
    <n v="352.65"/>
    <n v="21158.85"/>
    <n v="211.58849999999998"/>
    <d v="2025-12-12T21:35:15"/>
    <n v="352.15"/>
  </r>
  <r>
    <s v="CUST009"/>
    <s v="Emma Wilson"/>
    <x v="2"/>
    <x v="3"/>
    <n v="1350.33"/>
    <n v="10"/>
    <n v="0.5"/>
    <x v="89"/>
    <n v="472.62"/>
    <n v="13503.3"/>
    <n v="202.54949999999999"/>
    <d v="2025-12-12T21:35:15"/>
    <n v="472.12"/>
  </r>
  <r>
    <s v="CUST029"/>
    <s v="Lisa Thomas"/>
    <x v="1"/>
    <x v="2"/>
    <n v="919.18"/>
    <n v="4"/>
    <n v="0.5"/>
    <x v="89"/>
    <n v="195.33"/>
    <n v="3676.72"/>
    <n v="137.87699999999998"/>
    <d v="2025-12-12T21:35:15"/>
    <n v="194.83"/>
  </r>
  <r>
    <s v="CUST027"/>
    <s v="James Wilson"/>
    <x v="0"/>
    <x v="2"/>
    <n v="258.51"/>
    <n v="19"/>
    <n v="0.5"/>
    <x v="90"/>
    <n v="64.63"/>
    <n v="4911.6899999999996"/>
    <n v="38.776499999999999"/>
    <d v="2025-12-12T21:35:15"/>
    <n v="64.13"/>
  </r>
  <r>
    <s v="CUST011"/>
    <s v="Emma Wilson"/>
    <x v="1"/>
    <x v="0"/>
    <n v="1213.48"/>
    <n v="5"/>
    <n v="0.5"/>
    <x v="90"/>
    <n v="461.12"/>
    <n v="6067.4"/>
    <n v="182.02199999999999"/>
    <d v="2025-12-12T21:35:15"/>
    <n v="460.62"/>
  </r>
  <r>
    <s v="CUST021"/>
    <s v="Emma Davis"/>
    <x v="4"/>
    <x v="0"/>
    <n v="1150.28"/>
    <n v="8"/>
    <n v="0.5"/>
    <x v="91"/>
    <n v="437.11"/>
    <n v="9202.24"/>
    <n v="172.542"/>
    <d v="2025-12-12T21:35:15"/>
    <n v="436.61"/>
  </r>
  <r>
    <s v="CUST014"/>
    <s v="David Anderson"/>
    <x v="2"/>
    <x v="3"/>
    <n v="853.86"/>
    <n v="8"/>
    <n v="0.5"/>
    <x v="91"/>
    <n v="268.97000000000003"/>
    <n v="6830.88"/>
    <n v="128.07900000000001"/>
    <d v="2025-12-12T21:35:15"/>
    <n v="268.47000000000003"/>
  </r>
  <r>
    <s v="CUST018"/>
    <s v="Lisa Thomas"/>
    <x v="2"/>
    <x v="2"/>
    <n v="1061.04"/>
    <n v="1"/>
    <n v="0.5"/>
    <x v="92"/>
    <n v="265.26"/>
    <n v="1061.04"/>
    <n v="159.15599999999998"/>
    <d v="2025-12-12T21:35:15"/>
    <n v="264.76"/>
  </r>
  <r>
    <s v="CUST001"/>
    <s v="Sarah Anderson"/>
    <x v="0"/>
    <x v="2"/>
    <n v="894.55"/>
    <n v="19"/>
    <n v="0.5"/>
    <x v="93"/>
    <n v="178.91"/>
    <n v="16996.45"/>
    <n v="134.18249999999998"/>
    <d v="2025-12-12T21:35:15"/>
    <n v="178.41"/>
  </r>
  <r>
    <s v="CUST007"/>
    <s v="Emma Davis"/>
    <x v="3"/>
    <x v="4"/>
    <n v="833.91"/>
    <n v="3"/>
    <n v="0.5"/>
    <x v="94"/>
    <n v="356.5"/>
    <n v="2501.73"/>
    <n v="125.08649999999999"/>
    <d v="2025-12-12T21:35:15"/>
    <n v="356"/>
  </r>
  <r>
    <s v="CUST015"/>
    <s v="David Anderson"/>
    <x v="0"/>
    <x v="3"/>
    <n v="820.19"/>
    <n v="4"/>
    <n v="0.5"/>
    <x v="95"/>
    <n v="229.65"/>
    <n v="3280.76"/>
    <n v="123.02850000000001"/>
    <d v="2025-12-12T21:35:15"/>
    <n v="229.15"/>
  </r>
  <r>
    <s v="CUST015"/>
    <s v="Emma Davis"/>
    <x v="4"/>
    <x v="2"/>
    <n v="511.74"/>
    <n v="8"/>
    <n v="0.5"/>
    <x v="96"/>
    <n v="121.54"/>
    <n v="4093.92"/>
    <n v="76.760999999999996"/>
    <d v="2025-12-12T21:35:15"/>
    <n v="121.04"/>
  </r>
  <r>
    <s v="CUST002"/>
    <s v="Emma Wilson"/>
    <x v="2"/>
    <x v="3"/>
    <n v="806.03"/>
    <n v="19"/>
    <n v="0.5"/>
    <x v="97"/>
    <n v="268"/>
    <n v="15314.57"/>
    <n v="120.90449999999998"/>
    <d v="2025-12-12T21:35:15"/>
    <n v="267.5"/>
  </r>
  <r>
    <s v="CUST001"/>
    <s v="Michael Anderson"/>
    <x v="4"/>
    <x v="3"/>
    <n v="1432.47"/>
    <n v="16"/>
    <n v="0.5"/>
    <x v="98"/>
    <n v="426.16"/>
    <n v="22919.52"/>
    <n v="214.87049999999999"/>
    <d v="2025-12-12T21:35:15"/>
    <n v="425.66"/>
  </r>
  <r>
    <s v="CUST027"/>
    <s v="Linda Wilson"/>
    <x v="4"/>
    <x v="2"/>
    <n v="1488.58"/>
    <n v="10"/>
    <n v="0.5"/>
    <x v="98"/>
    <n v="316.32"/>
    <n v="14885.8"/>
    <n v="223.28699999999998"/>
    <d v="2025-12-12T21:35:15"/>
    <n v="315.82"/>
  </r>
  <r>
    <s v="CUST026"/>
    <s v="Emma Taylor"/>
    <x v="1"/>
    <x v="0"/>
    <n v="1231.26"/>
    <n v="9"/>
    <n v="0.5"/>
    <x v="99"/>
    <n v="492.5"/>
    <n v="11081.34"/>
    <n v="184.68899999999999"/>
    <d v="2025-12-12T21:35:15"/>
    <n v="492"/>
  </r>
  <r>
    <s v="CUST026"/>
    <s v="Sarah Anderson"/>
    <x v="0"/>
    <x v="2"/>
    <n v="1161.67"/>
    <n v="19"/>
    <n v="0.5"/>
    <x v="100"/>
    <n v="232.33"/>
    <n v="22071.730000000003"/>
    <n v="174.25050000000002"/>
    <d v="2025-12-12T21:35:15"/>
    <n v="231.83"/>
  </r>
  <r>
    <s v="CUST022"/>
    <s v="Lisa Thomas"/>
    <x v="4"/>
    <x v="4"/>
    <n v="388.23"/>
    <n v="16"/>
    <n v="0.5"/>
    <x v="101"/>
    <n v="165.97"/>
    <n v="6211.68"/>
    <n v="58.234499999999997"/>
    <d v="2025-12-12T21:35:15"/>
    <n v="165.47"/>
  </r>
  <r>
    <s v="CUST004"/>
    <s v="Mary Davis"/>
    <x v="3"/>
    <x v="1"/>
    <n v="1589.42"/>
    <n v="6"/>
    <n v="0.5"/>
    <x v="102"/>
    <n v="675.5"/>
    <n v="9536.52"/>
    <n v="238.41300000000001"/>
    <d v="2025-12-12T21:35:15"/>
    <n v="675"/>
  </r>
  <r>
    <s v="CUST001"/>
    <s v="David Anderson"/>
    <x v="3"/>
    <x v="1"/>
    <n v="336.66"/>
    <n v="13"/>
    <n v="0.5"/>
    <x v="102"/>
    <n v="134.66"/>
    <n v="4376.58"/>
    <n v="50.499000000000002"/>
    <d v="2025-12-12T21:35:15"/>
    <n v="134.16"/>
  </r>
  <r>
    <s v="CUST022"/>
    <s v="James Wilson"/>
    <x v="0"/>
    <x v="0"/>
    <n v="1353.79"/>
    <n v="14"/>
    <n v="0.5"/>
    <x v="103"/>
    <n v="487.36"/>
    <n v="18953.059999999998"/>
    <n v="203.0685"/>
    <d v="2025-12-12T21:35:15"/>
    <n v="486.86"/>
  </r>
  <r>
    <s v="CUST011"/>
    <s v="Linda Moore"/>
    <x v="4"/>
    <x v="1"/>
    <n v="662.61"/>
    <n v="11"/>
    <n v="0.5"/>
    <x v="104"/>
    <n v="314.74"/>
    <n v="7288.71"/>
    <n v="99.391499999999994"/>
    <d v="2025-12-12T21:35:15"/>
    <n v="314.24"/>
  </r>
  <r>
    <s v="CUST028"/>
    <s v="Lisa Davis"/>
    <x v="3"/>
    <x v="4"/>
    <n v="309.42"/>
    <n v="1"/>
    <n v="0.5"/>
    <x v="104"/>
    <n v="111.39"/>
    <n v="309.42"/>
    <n v="46.413000000000004"/>
    <d v="2025-12-12T21:35:15"/>
    <n v="110.89"/>
  </r>
  <r>
    <s v="CUST011"/>
    <s v="Linda Wilson"/>
    <x v="3"/>
    <x v="0"/>
    <n v="884.63"/>
    <n v="18"/>
    <n v="0.5"/>
    <x v="105"/>
    <n v="318.47000000000003"/>
    <n v="15923.34"/>
    <n v="132.69450000000001"/>
    <d v="2025-12-12T21:35:15"/>
    <n v="317.97000000000003"/>
  </r>
  <r>
    <s v="CUST028"/>
    <s v="James Wilson"/>
    <x v="4"/>
    <x v="4"/>
    <n v="745.05"/>
    <n v="10"/>
    <n v="0.5"/>
    <x v="106"/>
    <n v="301.75"/>
    <n v="7450.5"/>
    <n v="111.75749999999999"/>
    <d v="2025-12-12T21:35:15"/>
    <n v="301.25"/>
  </r>
  <r>
    <s v="CUST016"/>
    <s v="James Taylor"/>
    <x v="2"/>
    <x v="1"/>
    <n v="870.23"/>
    <n v="5"/>
    <n v="0.5"/>
    <x v="106"/>
    <n v="413.36"/>
    <n v="4351.1499999999996"/>
    <n v="130.53450000000001"/>
    <d v="2025-12-12T21:35:15"/>
    <n v="412.86"/>
  </r>
  <r>
    <s v="CUST010"/>
    <s v="Linda Wilson"/>
    <x v="0"/>
    <x v="3"/>
    <n v="862.19"/>
    <n v="18"/>
    <n v="0.5"/>
    <x v="107"/>
    <n v="286.68"/>
    <n v="15519.420000000002"/>
    <n v="129.32849999999999"/>
    <d v="2025-12-12T21:35:15"/>
    <n v="286.18"/>
  </r>
  <r>
    <s v="CUST013"/>
    <s v="Mary Wilson"/>
    <x v="3"/>
    <x v="1"/>
    <n v="1171.18"/>
    <n v="19"/>
    <n v="0.5"/>
    <x v="108"/>
    <n v="556.30999999999995"/>
    <n v="22252.420000000002"/>
    <n v="175.67699999999999"/>
    <d v="2025-12-12T21:35:15"/>
    <n v="555.80999999999995"/>
  </r>
  <r>
    <s v="CUST015"/>
    <s v="Robert Anderson"/>
    <x v="2"/>
    <x v="3"/>
    <n v="1054.56"/>
    <n v="11"/>
    <n v="0.5"/>
    <x v="109"/>
    <n v="332.19"/>
    <n v="11600.16"/>
    <n v="158.184"/>
    <d v="2025-12-12T21:35:15"/>
    <n v="331.69"/>
  </r>
  <r>
    <s v="CUST015"/>
    <s v="James Wilson"/>
    <x v="3"/>
    <x v="2"/>
    <n v="1681.21"/>
    <n v="5"/>
    <n v="0.5"/>
    <x v="110"/>
    <n v="336.24"/>
    <n v="8406.0499999999993"/>
    <n v="252.1815"/>
    <d v="2025-12-12T21:35:15"/>
    <n v="335.74"/>
  </r>
  <r>
    <s v="CUST015"/>
    <s v="David Thomas"/>
    <x v="0"/>
    <x v="1"/>
    <n v="379.77"/>
    <n v="9"/>
    <n v="0.5"/>
    <x v="111"/>
    <n v="180.39"/>
    <n v="3417.93"/>
    <n v="56.965499999999999"/>
    <d v="2025-12-12T21:35:15"/>
    <n v="179.89"/>
  </r>
  <r>
    <s v="CUST008"/>
    <s v="Lisa Thomas"/>
    <x v="4"/>
    <x v="1"/>
    <n v="1076.33"/>
    <n v="2"/>
    <n v="0.5"/>
    <x v="112"/>
    <n v="484.35"/>
    <n v="2152.66"/>
    <n v="161.44949999999997"/>
    <d v="2025-12-12T21:35:15"/>
    <n v="483.85"/>
  </r>
  <r>
    <s v="CUST008"/>
    <s v="Mary Davis"/>
    <x v="4"/>
    <x v="4"/>
    <n v="1250.71"/>
    <n v="7"/>
    <n v="0.5"/>
    <x v="112"/>
    <n v="562.82000000000005"/>
    <n v="8754.9700000000012"/>
    <n v="187.60650000000001"/>
    <d v="2025-12-12T21:35:15"/>
    <n v="562.32000000000005"/>
  </r>
  <r>
    <s v="CUST023"/>
    <s v="James Taylor"/>
    <x v="2"/>
    <x v="1"/>
    <n v="1118.3399999999999"/>
    <n v="6"/>
    <n v="0.5"/>
    <x v="112"/>
    <n v="447.34"/>
    <n v="6710.0399999999991"/>
    <n v="167.75099999999998"/>
    <d v="2025-12-12T21:35:15"/>
    <n v="446.84"/>
  </r>
  <r>
    <s v="CUST024"/>
    <s v="Linda Taylor"/>
    <x v="3"/>
    <x v="1"/>
    <n v="1622.62"/>
    <n v="12"/>
    <n v="0.5"/>
    <x v="113"/>
    <n v="649.04999999999995"/>
    <n v="19471.439999999999"/>
    <n v="243.39299999999997"/>
    <d v="2025-12-12T21:35:15"/>
    <n v="648.54999999999995"/>
  </r>
  <r>
    <s v="CUST018"/>
    <s v="Lisa Davis"/>
    <x v="3"/>
    <x v="0"/>
    <n v="640.64"/>
    <n v="11"/>
    <n v="0.5"/>
    <x v="114"/>
    <n v="205"/>
    <n v="7047.04"/>
    <n v="96.095999999999989"/>
    <d v="2025-12-12T21:35:15"/>
    <n v="204.5"/>
  </r>
  <r>
    <s v="CUST030"/>
    <s v="Sarah Anderson"/>
    <x v="0"/>
    <x v="1"/>
    <n v="585.16"/>
    <n v="17"/>
    <n v="0.5"/>
    <x v="115"/>
    <n v="263.32"/>
    <n v="9947.7199999999993"/>
    <n v="87.773999999999987"/>
    <d v="2025-12-12T21:35:15"/>
    <n v="262.82"/>
  </r>
  <r>
    <s v="CUST030"/>
    <s v="Mary Davis"/>
    <x v="1"/>
    <x v="1"/>
    <n v="1109.98"/>
    <n v="5"/>
    <n v="0.5"/>
    <x v="116"/>
    <n v="443.99"/>
    <n v="5549.9"/>
    <n v="166.49699999999999"/>
    <d v="2025-12-12T21:35:15"/>
    <n v="443.49"/>
  </r>
  <r>
    <s v="CUST015"/>
    <s v="Lisa Thomas"/>
    <x v="1"/>
    <x v="0"/>
    <n v="1098.08"/>
    <n v="9"/>
    <n v="0.5"/>
    <x v="117"/>
    <n v="395.31"/>
    <n v="9882.7199999999993"/>
    <n v="164.71199999999999"/>
    <d v="2025-12-12T21:35:15"/>
    <n v="394.81"/>
  </r>
  <r>
    <s v="CUST002"/>
    <s v="Lisa Davis"/>
    <x v="0"/>
    <x v="4"/>
    <n v="827.25"/>
    <n v="7"/>
    <n v="0.5"/>
    <x v="118"/>
    <n v="335.04"/>
    <n v="5790.75"/>
    <n v="124.08749999999999"/>
    <d v="2025-12-12T21:35:15"/>
    <n v="334.54"/>
  </r>
  <r>
    <s v="CUST024"/>
    <s v="Linda Wilson"/>
    <x v="4"/>
    <x v="1"/>
    <n v="741.88"/>
    <n v="16"/>
    <n v="0.5"/>
    <x v="119"/>
    <n v="333.85"/>
    <n v="11870.08"/>
    <n v="111.282"/>
    <d v="2025-12-12T21:35:15"/>
    <n v="333.35"/>
  </r>
  <r>
    <s v="CUST004"/>
    <s v="James Davis"/>
    <x v="1"/>
    <x v="4"/>
    <n v="1311.26"/>
    <n v="6"/>
    <n v="0.5"/>
    <x v="120"/>
    <n v="531.05999999999995"/>
    <n v="7867.5599999999995"/>
    <n v="196.68899999999999"/>
    <d v="2025-12-12T21:35:15"/>
    <n v="530.55999999999995"/>
  </r>
  <r>
    <s v="CUST004"/>
    <s v="Mary Davis"/>
    <x v="2"/>
    <x v="4"/>
    <n v="573.32000000000005"/>
    <n v="19"/>
    <n v="0.5"/>
    <x v="121"/>
    <n v="232.19"/>
    <n v="10893.080000000002"/>
    <n v="85.998000000000005"/>
    <d v="2025-12-12T21:35:15"/>
    <n v="231.69"/>
  </r>
  <r>
    <s v="CUST028"/>
    <s v="James Wilson"/>
    <x v="0"/>
    <x v="2"/>
    <n v="1115.22"/>
    <n v="14"/>
    <n v="0.5"/>
    <x v="122"/>
    <n v="223.04"/>
    <n v="15613.08"/>
    <n v="167.28299999999999"/>
    <d v="2025-12-12T21:35:15"/>
    <n v="222.54"/>
  </r>
  <r>
    <s v="CUST012"/>
    <s v="Lisa Thomas"/>
    <x v="3"/>
    <x v="1"/>
    <n v="845.84"/>
    <n v="4"/>
    <n v="0.5"/>
    <x v="123"/>
    <n v="422.92"/>
    <n v="3383.36"/>
    <n v="126.876"/>
    <d v="2025-12-12T21:35:15"/>
    <n v="422.42"/>
  </r>
  <r>
    <s v="CUST026"/>
    <s v="David Brown"/>
    <x v="0"/>
    <x v="2"/>
    <n v="1029.8"/>
    <n v="3"/>
    <n v="0.5"/>
    <x v="124"/>
    <n v="257.45"/>
    <n v="3089.3999999999996"/>
    <n v="154.47"/>
    <d v="2025-12-12T21:35:15"/>
    <n v="256.95"/>
  </r>
  <r>
    <s v="CUST009"/>
    <s v="Mary Davis"/>
    <x v="3"/>
    <x v="0"/>
    <n v="1189.83"/>
    <n v="2"/>
    <n v="0.5"/>
    <x v="125"/>
    <n v="380.75"/>
    <n v="2379.66"/>
    <n v="178.47449999999998"/>
    <d v="2025-12-12T21:35:15"/>
    <n v="380.25"/>
  </r>
  <r>
    <s v="CUST003"/>
    <s v="Sarah Anderson"/>
    <x v="2"/>
    <x v="0"/>
    <n v="704.28"/>
    <n v="15"/>
    <n v="0.5"/>
    <x v="126"/>
    <n v="225.37"/>
    <n v="10564.199999999999"/>
    <n v="105.642"/>
    <d v="2025-12-12T21:35:15"/>
    <n v="224.87"/>
  </r>
  <r>
    <s v="CUST002"/>
    <s v="Mary Jackson"/>
    <x v="4"/>
    <x v="4"/>
    <n v="1618.22"/>
    <n v="12"/>
    <n v="0.5"/>
    <x v="126"/>
    <n v="582.55999999999995"/>
    <n v="19418.64"/>
    <n v="242.733"/>
    <d v="2025-12-12T21:35:15"/>
    <n v="582.05999999999995"/>
  </r>
  <r>
    <s v="CUST013"/>
    <s v="Linda Taylor"/>
    <x v="4"/>
    <x v="0"/>
    <n v="1014.43"/>
    <n v="2"/>
    <n v="0.5"/>
    <x v="127"/>
    <n v="344.91"/>
    <n v="2028.86"/>
    <n v="152.16449999999998"/>
    <d v="2025-12-12T21:35:15"/>
    <n v="344.41"/>
  </r>
  <r>
    <s v="CUST018"/>
    <s v="Mary Davis"/>
    <x v="4"/>
    <x v="1"/>
    <n v="826.97"/>
    <n v="18"/>
    <n v="0.5"/>
    <x v="128"/>
    <n v="330.79"/>
    <n v="14885.460000000001"/>
    <n v="124.0455"/>
    <d v="2025-12-12T21:35:15"/>
    <n v="330.29"/>
  </r>
  <r>
    <s v="CUST017"/>
    <s v="Mary Davis"/>
    <x v="4"/>
    <x v="1"/>
    <n v="1022.23"/>
    <n v="8"/>
    <n v="0.5"/>
    <x v="129"/>
    <n v="460"/>
    <n v="8177.84"/>
    <n v="153.33449999999999"/>
    <d v="2025-12-12T21:35:15"/>
    <n v="459.5"/>
  </r>
  <r>
    <s v="CUST004"/>
    <s v="Linda Wilson"/>
    <x v="1"/>
    <x v="0"/>
    <n v="1099.69"/>
    <n v="6"/>
    <n v="0.5"/>
    <x v="130"/>
    <n v="439.88"/>
    <n v="6598.14"/>
    <n v="164.95349999999999"/>
    <d v="2025-12-12T21:35:15"/>
    <n v="439.38"/>
  </r>
  <r>
    <s v="CUST028"/>
    <s v="Sarah Davis"/>
    <x v="3"/>
    <x v="0"/>
    <n v="710.52"/>
    <n v="8"/>
    <n v="0.5"/>
    <x v="131"/>
    <n v="255.79"/>
    <n v="5684.16"/>
    <n v="106.57799999999999"/>
    <d v="2025-12-12T21:35:15"/>
    <n v="255.29"/>
  </r>
  <r>
    <s v="CUST028"/>
    <s v="Mary Wilson"/>
    <x v="3"/>
    <x v="0"/>
    <n v="499.18"/>
    <n v="15"/>
    <n v="0.5"/>
    <x v="132"/>
    <n v="159.74"/>
    <n v="7487.7"/>
    <n v="74.876999999999995"/>
    <d v="2025-12-12T21:35:15"/>
    <n v="159.24"/>
  </r>
  <r>
    <s v="CUST014"/>
    <s v="Emma Davis"/>
    <x v="2"/>
    <x v="0"/>
    <n v="1064.19"/>
    <n v="18"/>
    <n v="0.5"/>
    <x v="133"/>
    <n v="404.39"/>
    <n v="19155.420000000002"/>
    <n v="159.6285"/>
    <d v="2025-12-12T21:35:15"/>
    <n v="403.89"/>
  </r>
  <r>
    <s v="CUST003"/>
    <s v="Emma Davis"/>
    <x v="1"/>
    <x v="4"/>
    <n v="438.76"/>
    <n v="18"/>
    <n v="0.5"/>
    <x v="134"/>
    <n v="187.57"/>
    <n v="7897.68"/>
    <n v="65.813999999999993"/>
    <d v="2025-12-12T21:35:15"/>
    <n v="187.07"/>
  </r>
  <r>
    <s v="CUST029"/>
    <s v="David Brown"/>
    <x v="0"/>
    <x v="1"/>
    <n v="864.98"/>
    <n v="2"/>
    <n v="0.5"/>
    <x v="135"/>
    <n v="410.87"/>
    <n v="1729.96"/>
    <n v="129.74699999999999"/>
    <d v="2025-12-12T21:35:15"/>
    <n v="410.37"/>
  </r>
  <r>
    <s v="CUST021"/>
    <s v="David Brown"/>
    <x v="0"/>
    <x v="3"/>
    <n v="984.93"/>
    <n v="14"/>
    <n v="0.5"/>
    <x v="136"/>
    <n v="275.77999999999997"/>
    <n v="13789.019999999999"/>
    <n v="147.73949999999999"/>
    <d v="2025-12-12T21:35:15"/>
    <n v="275.27999999999997"/>
  </r>
  <r>
    <s v="CUST007"/>
    <s v="David Brown"/>
    <x v="0"/>
    <x v="1"/>
    <n v="1493.49"/>
    <n v="18"/>
    <n v="0.5"/>
    <x v="137"/>
    <n v="746.74"/>
    <n v="26882.82"/>
    <n v="224.02349999999998"/>
    <d v="2025-12-12T21:35:15"/>
    <n v="746.24"/>
  </r>
  <r>
    <s v="CUST009"/>
    <s v="Linda Taylor"/>
    <x v="2"/>
    <x v="1"/>
    <n v="689.43"/>
    <n v="9"/>
    <n v="0.5"/>
    <x v="138"/>
    <n v="310.24"/>
    <n v="6204.87"/>
    <n v="103.41449999999999"/>
    <d v="2025-12-12T21:35:15"/>
    <n v="309.74"/>
  </r>
  <r>
    <s v="CUST023"/>
    <s v="Mary Wilson"/>
    <x v="2"/>
    <x v="1"/>
    <n v="682.24"/>
    <n v="1"/>
    <n v="0.5"/>
    <x v="139"/>
    <n v="341.12"/>
    <n v="682.24"/>
    <n v="102.336"/>
    <d v="2025-12-12T21:35:15"/>
    <n v="340.62"/>
  </r>
  <r>
    <s v="CUST029"/>
    <s v="Michael Anderson"/>
    <x v="3"/>
    <x v="2"/>
    <n v="458.54"/>
    <n v="15"/>
    <n v="0.5"/>
    <x v="140"/>
    <n v="91.71"/>
    <n v="6878.1"/>
    <n v="68.781000000000006"/>
    <d v="2025-12-12T21:35:15"/>
    <n v="91.21"/>
  </r>
  <r>
    <s v="CUST009"/>
    <s v="Michael Anderson"/>
    <x v="2"/>
    <x v="3"/>
    <n v="1184.25"/>
    <n v="11"/>
    <n v="0.5"/>
    <x v="141"/>
    <n v="331.59"/>
    <n v="13026.75"/>
    <n v="177.63749999999999"/>
    <d v="2025-12-12T21:35:15"/>
    <n v="331.09"/>
  </r>
  <r>
    <s v="CUST007"/>
    <s v="James Davis"/>
    <x v="2"/>
    <x v="1"/>
    <n v="762.14"/>
    <n v="9"/>
    <n v="0.5"/>
    <x v="142"/>
    <n v="381.07"/>
    <n v="6859.26"/>
    <n v="114.321"/>
    <d v="2025-12-12T21:35:15"/>
    <n v="380.57"/>
  </r>
  <r>
    <s v="CUST030"/>
    <s v="Linda Taylor"/>
    <x v="3"/>
    <x v="0"/>
    <n v="750.71"/>
    <n v="10"/>
    <n v="0.5"/>
    <x v="142"/>
    <n v="255.24"/>
    <n v="7507.1"/>
    <n v="112.6065"/>
    <d v="2025-12-12T21:35:15"/>
    <n v="254.74"/>
  </r>
  <r>
    <s v="CUST018"/>
    <s v="David Anderson"/>
    <x v="4"/>
    <x v="1"/>
    <n v="1456.94"/>
    <n v="14"/>
    <n v="0.5"/>
    <x v="143"/>
    <n v="692.05"/>
    <n v="20397.16"/>
    <n v="218.541"/>
    <d v="2025-12-12T21:35:15"/>
    <n v="691.55"/>
  </r>
  <r>
    <s v="CUST008"/>
    <s v="Emma Wilson"/>
    <x v="1"/>
    <x v="3"/>
    <n v="1093.3800000000001"/>
    <n v="17"/>
    <n v="0.5"/>
    <x v="143"/>
    <n v="344.41"/>
    <n v="18587.460000000003"/>
    <n v="164.00700000000001"/>
    <d v="2025-12-12T21:35:15"/>
    <n v="343.91"/>
  </r>
  <r>
    <s v="CUST014"/>
    <s v="Sarah Anderson"/>
    <x v="0"/>
    <x v="1"/>
    <n v="934.27"/>
    <n v="8"/>
    <n v="0.5"/>
    <x v="144"/>
    <n v="397.06"/>
    <n v="7474.16"/>
    <n v="140.1405"/>
    <d v="2025-12-12T21:35:15"/>
    <n v="396.56"/>
  </r>
  <r>
    <s v="CUST024"/>
    <s v="David Thomas"/>
    <x v="4"/>
    <x v="1"/>
    <n v="1465.35"/>
    <n v="8"/>
    <n v="0.5"/>
    <x v="144"/>
    <n v="586.14"/>
    <n v="11722.8"/>
    <n v="219.80249999999998"/>
    <d v="2025-12-12T21:35:15"/>
    <n v="585.64"/>
  </r>
  <r>
    <s v="CUST028"/>
    <s v="Robert Anderson"/>
    <x v="2"/>
    <x v="4"/>
    <n v="740.8"/>
    <n v="3"/>
    <n v="0.5"/>
    <x v="145"/>
    <n v="333.36"/>
    <n v="2222.3999999999996"/>
    <n v="111.11999999999999"/>
    <d v="2025-12-12T21:35:15"/>
    <n v="332.86"/>
  </r>
  <r>
    <s v="CUST015"/>
    <s v="Sarah Anderson"/>
    <x v="0"/>
    <x v="4"/>
    <n v="545.44000000000005"/>
    <n v="17"/>
    <n v="0.5"/>
    <x v="146"/>
    <n v="245.45"/>
    <n v="9272.4800000000014"/>
    <n v="81.816000000000003"/>
    <d v="2025-12-12T21:35:15"/>
    <n v="244.95"/>
  </r>
  <r>
    <s v="CUST010"/>
    <s v="David Thomas"/>
    <x v="1"/>
    <x v="0"/>
    <n v="997.61"/>
    <n v="8"/>
    <n v="0.5"/>
    <x v="146"/>
    <n v="379.09"/>
    <n v="7980.88"/>
    <n v="149.64150000000001"/>
    <d v="2025-12-12T21:35:15"/>
    <n v="378.59"/>
  </r>
  <r>
    <s v="CUST016"/>
    <s v="David Thomas"/>
    <x v="2"/>
    <x v="1"/>
    <n v="928.32"/>
    <n v="2"/>
    <n v="0.5"/>
    <x v="147"/>
    <n v="440.95"/>
    <n v="1856.64"/>
    <n v="139.24799999999999"/>
    <d v="2025-12-12T21:35:15"/>
    <n v="440.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527225-B70F-4C9B-96EB-224B9795F1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C2:D8" firstHeaderRow="1" firstDataRow="1" firstDataCol="1"/>
  <pivotFields count="16">
    <pivotField showAll="0"/>
    <pivotField showAll="0"/>
    <pivotField axis="axisRow" showAll="0">
      <items count="6">
        <item x="4"/>
        <item x="1"/>
        <item x="3"/>
        <item x="2"/>
        <item x="0"/>
        <item t="default"/>
      </items>
    </pivotField>
    <pivotField showAll="0">
      <items count="6">
        <item h="1" x="0"/>
        <item h="1"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dataField="1" showAll="0"/>
    <pivotField showAll="0"/>
    <pivotField numFmtId="2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Purchase" fld="9" baseField="0" baseItem="0"/>
  </dataField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9F61A1-2BB4-4773-BFEA-E742454474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E6" firstHeaderRow="1" firstDataRow="1" firstDataCol="1"/>
  <pivotFields count="16">
    <pivotField showAll="0"/>
    <pivotField showAll="0"/>
    <pivotField showAll="0">
      <items count="6">
        <item x="4"/>
        <item x="1"/>
        <item x="3"/>
        <item x="2"/>
        <item x="0"/>
        <item t="default"/>
      </items>
    </pivotField>
    <pivotField axis="axisRow" showAll="0">
      <items count="6">
        <item h="1" x="0"/>
        <item h="1"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dataField="1" showAll="0"/>
    <pivotField showAll="0"/>
    <pivotField numFmtId="2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v="2"/>
    </i>
    <i>
      <x v="3"/>
    </i>
    <i>
      <x v="4"/>
    </i>
    <i t="grand">
      <x/>
    </i>
  </rowItems>
  <colItems count="1">
    <i/>
  </colItems>
  <dataFields count="1">
    <dataField name="Sum of Total Purchase" fld="9" baseField="0" baseItem="0"/>
  </dataFields>
  <chartFormats count="2">
    <chartFormat chart="16"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890E12-6C34-4F85-B5C1-6B6AFD5786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E18" firstHeaderRow="1" firstDataRow="1" firstDataCol="1"/>
  <pivotFields count="16">
    <pivotField showAll="0"/>
    <pivotField showAll="0"/>
    <pivotField showAll="0">
      <items count="6">
        <item x="4"/>
        <item x="1"/>
        <item x="3"/>
        <item x="2"/>
        <item x="0"/>
        <item t="default"/>
      </items>
    </pivotField>
    <pivotField showAll="0">
      <items count="6">
        <item h="1" x="0"/>
        <item h="1" x="1"/>
        <item x="2"/>
        <item x="3"/>
        <item x="4"/>
        <item t="default"/>
      </items>
    </pivotField>
    <pivotField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dataField="1" showAll="0"/>
    <pivotField showAll="0"/>
    <pivotField numFmtId="22"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x="2"/>
        <item sd="0" x="3"/>
        <item sd="0" x="4"/>
        <item sd="0" x="5"/>
        <item t="default"/>
      </items>
    </pivotField>
    <pivotField axis="axisRow" showAll="0">
      <items count="5">
        <item x="0"/>
        <item x="1"/>
        <item x="2"/>
        <item x="3"/>
        <item t="default"/>
      </items>
    </pivotField>
  </pivotFields>
  <rowFields count="3">
    <field x="15"/>
    <field x="13"/>
    <field x="7"/>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 Purchase" fld="9" baseField="0" baseItem="0"/>
  </dataFields>
  <formats count="1">
    <format dxfId="3">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8DA7BE1-F20C-4118-B839-0778806DFC68}" sourceName="Region">
  <pivotTables>
    <pivotTable tabId="5" name="PivotTable1"/>
    <pivotTable tabId="7" name="PivotTable3"/>
    <pivotTable tabId="6" name="PivotTable2"/>
  </pivotTables>
  <data>
    <tabular pivotCacheId="2120861897">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BD096C0-CB33-4318-AB13-051A2466C100}" sourceName="Product_Category">
  <pivotTables>
    <pivotTable tabId="6" name="PivotTable2"/>
    <pivotTable tabId="7" name="PivotTable3"/>
    <pivotTable tabId="5" name="PivotTable1"/>
  </pivotTables>
  <data>
    <tabular pivotCacheId="2120861897">
      <items count="5">
        <i x="0"/>
        <i x="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8F75F342-D40A-4E9E-B48A-CE509E7E0B9A}" sourceName="Order_Date">
  <pivotTables>
    <pivotTable tabId="7" name="PivotTable3"/>
  </pivotTables>
  <data>
    <tabular pivotCacheId="2120861897">
      <items count="148">
        <i x="2" s="1"/>
        <i x="4" s="1"/>
        <i x="5" s="1"/>
        <i x="6" s="1"/>
        <i x="8" s="1"/>
        <i x="9" s="1"/>
        <i x="10" s="1"/>
        <i x="13" s="1"/>
        <i x="15" s="1"/>
        <i x="16" s="1"/>
        <i x="17" s="1"/>
        <i x="19" s="1"/>
        <i x="20" s="1"/>
        <i x="21" s="1"/>
        <i x="22" s="1"/>
        <i x="23" s="1"/>
        <i x="26" s="1"/>
        <i x="27" s="1"/>
        <i x="28" s="1"/>
        <i x="29" s="1"/>
        <i x="30" s="1"/>
        <i x="31" s="1"/>
        <i x="32" s="1"/>
        <i x="34" s="1"/>
        <i x="36" s="1"/>
        <i x="38" s="1"/>
        <i x="41" s="1"/>
        <i x="42" s="1"/>
        <i x="43" s="1"/>
        <i x="44" s="1"/>
        <i x="45" s="1"/>
        <i x="46" s="1"/>
        <i x="47" s="1"/>
        <i x="48" s="1"/>
        <i x="49" s="1"/>
        <i x="50" s="1"/>
        <i x="51" s="1"/>
        <i x="52" s="1"/>
        <i x="53" s="1"/>
        <i x="54" s="1"/>
        <i x="55" s="1"/>
        <i x="57" s="1"/>
        <i x="58" s="1"/>
        <i x="59" s="1"/>
        <i x="60" s="1"/>
        <i x="61" s="1"/>
        <i x="62" s="1"/>
        <i x="63" s="1"/>
        <i x="64" s="1"/>
        <i x="65" s="1"/>
        <i x="68" s="1"/>
        <i x="69" s="1"/>
        <i x="71" s="1"/>
        <i x="72" s="1"/>
        <i x="73" s="1"/>
        <i x="78" s="1"/>
        <i x="79" s="1"/>
        <i x="81" s="1"/>
        <i x="83" s="1"/>
        <i x="84" s="1"/>
        <i x="85" s="1"/>
        <i x="87" s="1"/>
        <i x="88" s="1"/>
        <i x="89" s="1"/>
        <i x="90" s="1"/>
        <i x="91" s="1"/>
        <i x="92" s="1"/>
        <i x="93" s="1"/>
        <i x="94" s="1"/>
        <i x="95" s="1"/>
        <i x="96" s="1"/>
        <i x="97" s="1"/>
        <i x="98" s="1"/>
        <i x="100" s="1"/>
        <i x="101" s="1"/>
        <i x="104" s="1"/>
        <i x="106" s="1"/>
        <i x="107" s="1"/>
        <i x="109" s="1"/>
        <i x="110" s="1"/>
        <i x="112" s="1"/>
        <i x="118" s="1"/>
        <i x="120" s="1"/>
        <i x="121" s="1"/>
        <i x="122" s="1"/>
        <i x="124" s="1"/>
        <i x="126" s="1"/>
        <i x="134" s="1"/>
        <i x="136" s="1"/>
        <i x="140" s="1"/>
        <i x="141" s="1"/>
        <i x="143" s="1"/>
        <i x="145" s="1"/>
        <i x="146" s="1"/>
        <i x="0" s="1" nd="1"/>
        <i x="1" s="1" nd="1"/>
        <i x="3" s="1" nd="1"/>
        <i x="7" s="1" nd="1"/>
        <i x="11" s="1" nd="1"/>
        <i x="12" s="1" nd="1"/>
        <i x="14" s="1" nd="1"/>
        <i x="18" s="1" nd="1"/>
        <i x="24" s="1" nd="1"/>
        <i x="25" s="1" nd="1"/>
        <i x="33" s="1" nd="1"/>
        <i x="35" s="1" nd="1"/>
        <i x="37" s="1" nd="1"/>
        <i x="39" s="1" nd="1"/>
        <i x="40" s="1" nd="1"/>
        <i x="56" s="1" nd="1"/>
        <i x="66" s="1" nd="1"/>
        <i x="67" s="1" nd="1"/>
        <i x="70" s="1" nd="1"/>
        <i x="74" s="1" nd="1"/>
        <i x="75" s="1" nd="1"/>
        <i x="76" s="1" nd="1"/>
        <i x="77" s="1" nd="1"/>
        <i x="80" s="1" nd="1"/>
        <i x="82" s="1" nd="1"/>
        <i x="86" s="1" nd="1"/>
        <i x="99" s="1" nd="1"/>
        <i x="102" s="1" nd="1"/>
        <i x="103" s="1" nd="1"/>
        <i x="105" s="1" nd="1"/>
        <i x="108" s="1" nd="1"/>
        <i x="111" s="1" nd="1"/>
        <i x="113" s="1" nd="1"/>
        <i x="114" s="1" nd="1"/>
        <i x="115" s="1" nd="1"/>
        <i x="116" s="1" nd="1"/>
        <i x="117" s="1" nd="1"/>
        <i x="119" s="1" nd="1"/>
        <i x="123" s="1" nd="1"/>
        <i x="125" s="1" nd="1"/>
        <i x="127" s="1" nd="1"/>
        <i x="128" s="1" nd="1"/>
        <i x="129" s="1" nd="1"/>
        <i x="130" s="1" nd="1"/>
        <i x="131" s="1" nd="1"/>
        <i x="132" s="1" nd="1"/>
        <i x="133" s="1" nd="1"/>
        <i x="135" s="1" nd="1"/>
        <i x="137" s="1" nd="1"/>
        <i x="138" s="1" nd="1"/>
        <i x="139" s="1" nd="1"/>
        <i x="142" s="1" nd="1"/>
        <i x="144" s="1" nd="1"/>
        <i x="14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ED1371F-8D4C-4B06-830E-7D1D913B1A01}" sourceName="Months (Order_Date)">
  <pivotTables>
    <pivotTable tabId="7" name="PivotTable3"/>
    <pivotTable tabId="6" name="PivotTable2"/>
    <pivotTable tabId="5" name="PivotTable1"/>
  </pivotTables>
  <data>
    <tabular pivotCacheId="212086189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4A5AF3-A1F0-49EC-A3AB-3E9A7FDDE2A1}" cache="Slicer_Region" caption="Region" style="Slicer Style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96F02FFC-D01F-4AC0-AD5A-815D6D530F77}" cache="Slicer_Product_Category" caption="Product_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1" xr10:uid="{5D2BDCD1-5CBB-4437-B782-2797DD5EE742}" cache="Slicer_Order_Date" caption="Order_Date" startItem="1" rowHeight="234950"/>
  <slicer name="Months (Order_Date)" xr10:uid="{06687CF6-AD44-4C0F-8854-5101EB48DF1E}" cache="Slicer_Months__Order_Date" caption="Months (Order_Date)" columnCount="4" style="Slicer Style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CEB573B-9DE5-4080-A626-C0AD8E2C008C}" cache="Slicer_Region" caption="Region" style="Slicer Style 2" rowHeight="234950"/>
  <slicer name="Product_Category 1" xr10:uid="{B3C6C795-62EF-4740-A5ED-929D4F270D6D}" cache="Slicer_Product_Category" caption="Product_Category" style="Slicer Style 2" rowHeight="234950"/>
  <slicer name="Months (Order_Date) 1" xr10:uid="{540DA84C-CE74-4F8D-BFF9-1C72522455D1}" cache="Slicer_Months__Order_Date" caption="Months (Order_Date)" columnCount="4" style="Slicer Style 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zoomScale="68"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21" customHeight="1"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6" x14ac:dyDescent="0.3">
      <c r="A2" s="19"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Z1000"/>
  <sheetViews>
    <sheetView topLeftCell="E1" zoomScale="99" zoomScaleNormal="99" workbookViewId="0">
      <selection activeCell="R19" sqref="R19"/>
    </sheetView>
  </sheetViews>
  <sheetFormatPr defaultColWidth="14.44140625" defaultRowHeight="15" customHeight="1" x14ac:dyDescent="0.3"/>
  <cols>
    <col min="1" max="1" width="12.44140625" style="13" customWidth="1"/>
    <col min="2" max="2" width="16.5546875" style="13" customWidth="1"/>
    <col min="3" max="3" width="7.33203125" style="13" customWidth="1"/>
    <col min="4" max="4" width="16.6640625" style="13" customWidth="1"/>
    <col min="5" max="5" width="8" style="13" customWidth="1"/>
    <col min="6" max="6" width="8.88671875" style="13" customWidth="1"/>
    <col min="7" max="7" width="8.6640625" style="13" customWidth="1"/>
    <col min="8" max="8" width="11.33203125" style="13" customWidth="1"/>
    <col min="9" max="9" width="7" style="13" customWidth="1"/>
    <col min="10" max="10" width="15.88671875" style="13" customWidth="1"/>
    <col min="11" max="11" width="16.5546875" style="13" customWidth="1"/>
    <col min="12" max="12" width="16.6640625" style="13" bestFit="1" customWidth="1"/>
    <col min="13" max="13" width="10.5546875" style="13" bestFit="1" customWidth="1"/>
    <col min="14" max="14" width="17.21875" style="13" bestFit="1" customWidth="1"/>
    <col min="15" max="15" width="13.44140625" style="13" bestFit="1" customWidth="1"/>
    <col min="16" max="16" width="20" style="13" customWidth="1"/>
    <col min="17" max="18" width="14.44140625" style="13"/>
    <col min="19" max="20" width="8.6640625" style="13" customWidth="1"/>
    <col min="21" max="21" width="14.44140625" style="13"/>
    <col min="22" max="22" width="15.33203125" style="13" bestFit="1" customWidth="1"/>
    <col min="23" max="23" width="13" style="13" bestFit="1" customWidth="1"/>
    <col min="24" max="26" width="8.6640625" style="13" customWidth="1"/>
    <col min="27" max="16384" width="14.44140625" style="13"/>
  </cols>
  <sheetData>
    <row r="1" spans="1:26" ht="14.4" x14ac:dyDescent="0.3">
      <c r="A1" s="27" t="s">
        <v>2</v>
      </c>
      <c r="B1" s="28" t="s">
        <v>3</v>
      </c>
      <c r="C1" s="27" t="s">
        <v>4</v>
      </c>
      <c r="D1" s="27" t="s">
        <v>5</v>
      </c>
      <c r="E1" s="28" t="s">
        <v>6</v>
      </c>
      <c r="F1" s="27" t="s">
        <v>7</v>
      </c>
      <c r="G1" s="27" t="s">
        <v>8</v>
      </c>
      <c r="H1" s="27" t="s">
        <v>9</v>
      </c>
      <c r="I1" s="27" t="s">
        <v>10</v>
      </c>
      <c r="J1" s="4" t="s">
        <v>78</v>
      </c>
      <c r="K1" s="25" t="s">
        <v>79</v>
      </c>
      <c r="L1" s="25" t="s">
        <v>134</v>
      </c>
      <c r="M1"/>
      <c r="O1" s="10" t="s">
        <v>155</v>
      </c>
      <c r="S1" s="10"/>
      <c r="T1" s="10"/>
      <c r="X1" s="10"/>
      <c r="Y1" s="10"/>
      <c r="Z1" s="10"/>
    </row>
    <row r="2" spans="1:26" ht="14.4" x14ac:dyDescent="0.3">
      <c r="A2" s="29" t="s">
        <v>54</v>
      </c>
      <c r="B2" s="29" t="s">
        <v>50</v>
      </c>
      <c r="C2" s="29" t="s">
        <v>26</v>
      </c>
      <c r="D2" s="29" t="s">
        <v>41</v>
      </c>
      <c r="E2" s="29">
        <v>309.42</v>
      </c>
      <c r="F2" s="29">
        <v>1</v>
      </c>
      <c r="G2" s="29">
        <f t="shared" ref="G2:G33" si="0">$R$2</f>
        <v>0.5</v>
      </c>
      <c r="H2" s="30">
        <v>45658</v>
      </c>
      <c r="I2" s="29">
        <v>111.39</v>
      </c>
      <c r="J2" s="5">
        <f t="shared" ref="J2:J33" si="1">E2*F2</f>
        <v>309.42</v>
      </c>
      <c r="K2" s="5">
        <f t="shared" ref="K2:K33" si="2" xml:space="preserve"> (E2 - (E2 *$R$2)) * 0.3</f>
        <v>46.413000000000004</v>
      </c>
      <c r="L2" s="26">
        <f t="shared" ref="L2:L33" ca="1" si="3">NOW()</f>
        <v>46007.395068518519</v>
      </c>
      <c r="M2"/>
      <c r="N2" s="23" t="s">
        <v>152</v>
      </c>
      <c r="O2" s="24">
        <v>-167771.66</v>
      </c>
      <c r="P2" s="24">
        <f>SUM(I2:I201)</f>
        <v>68286.460000000036</v>
      </c>
      <c r="R2" s="35">
        <v>0.5</v>
      </c>
      <c r="S2" s="13">
        <f>SUM(K2:K201)</f>
        <v>29282.664000000008</v>
      </c>
    </row>
    <row r="3" spans="1:26" ht="14.4" x14ac:dyDescent="0.3">
      <c r="A3" s="29" t="s">
        <v>24</v>
      </c>
      <c r="B3" s="29" t="s">
        <v>57</v>
      </c>
      <c r="C3" s="29" t="s">
        <v>36</v>
      </c>
      <c r="D3" s="29" t="s">
        <v>23</v>
      </c>
      <c r="E3" s="29">
        <v>608.66</v>
      </c>
      <c r="F3" s="29">
        <v>1</v>
      </c>
      <c r="G3" s="29">
        <f t="shared" si="0"/>
        <v>0.5</v>
      </c>
      <c r="H3" s="30">
        <v>45503</v>
      </c>
      <c r="I3" s="29">
        <v>144.56</v>
      </c>
      <c r="J3" s="5">
        <f t="shared" si="1"/>
        <v>608.66</v>
      </c>
      <c r="K3" s="5">
        <f t="shared" si="2"/>
        <v>91.298999999999992</v>
      </c>
      <c r="L3" s="26">
        <f t="shared" ca="1" si="3"/>
        <v>46007.395068518519</v>
      </c>
      <c r="M3"/>
      <c r="R3" s="14"/>
      <c r="S3" s="14"/>
    </row>
    <row r="4" spans="1:26" ht="14.4" x14ac:dyDescent="0.3">
      <c r="A4" s="29" t="s">
        <v>69</v>
      </c>
      <c r="B4" s="29" t="s">
        <v>71</v>
      </c>
      <c r="C4" s="29" t="s">
        <v>26</v>
      </c>
      <c r="D4" s="29" t="s">
        <v>17</v>
      </c>
      <c r="E4" s="29">
        <v>661.09</v>
      </c>
      <c r="F4" s="29">
        <v>1</v>
      </c>
      <c r="G4" s="29">
        <f t="shared" si="0"/>
        <v>0.5</v>
      </c>
      <c r="H4" s="30">
        <v>45593</v>
      </c>
      <c r="I4" s="29">
        <v>264.44</v>
      </c>
      <c r="J4" s="5">
        <f t="shared" si="1"/>
        <v>661.09</v>
      </c>
      <c r="K4" s="5">
        <f t="shared" si="2"/>
        <v>99.163499999999999</v>
      </c>
      <c r="L4" s="26">
        <f t="shared" ca="1" si="3"/>
        <v>46007.395068518519</v>
      </c>
      <c r="M4"/>
      <c r="N4" s="36" t="s">
        <v>153</v>
      </c>
      <c r="O4" s="37"/>
      <c r="P4" s="38"/>
      <c r="R4" s="14"/>
      <c r="S4" s="15">
        <f>S2</f>
        <v>29282.664000000008</v>
      </c>
    </row>
    <row r="5" spans="1:26" ht="14.4" x14ac:dyDescent="0.3">
      <c r="A5" s="29" t="s">
        <v>42</v>
      </c>
      <c r="B5" s="29" t="s">
        <v>61</v>
      </c>
      <c r="C5" s="29" t="s">
        <v>22</v>
      </c>
      <c r="D5" s="29" t="s">
        <v>17</v>
      </c>
      <c r="E5" s="29">
        <v>682.24</v>
      </c>
      <c r="F5" s="29">
        <v>1</v>
      </c>
      <c r="G5" s="29">
        <f t="shared" si="0"/>
        <v>0.5</v>
      </c>
      <c r="H5" s="30">
        <v>45738</v>
      </c>
      <c r="I5" s="29">
        <v>341.12</v>
      </c>
      <c r="J5" s="5">
        <f t="shared" si="1"/>
        <v>682.24</v>
      </c>
      <c r="K5" s="5">
        <f t="shared" si="2"/>
        <v>102.336</v>
      </c>
      <c r="L5" s="26">
        <f t="shared" ca="1" si="3"/>
        <v>46007.395068518519</v>
      </c>
      <c r="M5"/>
      <c r="N5" s="15"/>
      <c r="O5" s="15" t="s">
        <v>78</v>
      </c>
      <c r="P5" s="15" t="s">
        <v>3</v>
      </c>
      <c r="R5" s="15">
        <v>0</v>
      </c>
      <c r="S5" s="14">
        <f t="dataTable" ref="S5:S10" dt2D="0" dtr="0" r1="R2"/>
        <v>58565.328000000016</v>
      </c>
    </row>
    <row r="6" spans="1:26" ht="14.4" x14ac:dyDescent="0.3">
      <c r="A6" s="29" t="s">
        <v>72</v>
      </c>
      <c r="B6" s="29" t="s">
        <v>25</v>
      </c>
      <c r="C6" s="29" t="s">
        <v>26</v>
      </c>
      <c r="D6" s="29" t="s">
        <v>23</v>
      </c>
      <c r="E6" s="29">
        <v>706.73</v>
      </c>
      <c r="F6" s="29">
        <v>1</v>
      </c>
      <c r="G6" s="29">
        <f t="shared" si="0"/>
        <v>0.5</v>
      </c>
      <c r="H6" s="30">
        <v>45613</v>
      </c>
      <c r="I6" s="29">
        <v>150.18</v>
      </c>
      <c r="J6" s="5">
        <f t="shared" si="1"/>
        <v>706.73</v>
      </c>
      <c r="K6" s="5">
        <f t="shared" si="2"/>
        <v>106.0095</v>
      </c>
      <c r="L6" s="26">
        <f t="shared" ca="1" si="3"/>
        <v>46007.395068518519</v>
      </c>
      <c r="M6"/>
      <c r="N6" s="22">
        <v>1</v>
      </c>
      <c r="O6" s="22">
        <f t="shared" ref="O6:O15" si="4">LARGE(J:J,N6)</f>
        <v>27435.62</v>
      </c>
      <c r="P6" s="5" t="str">
        <f t="shared" ref="P6:P15" si="5">INDEX(A2:L201,MATCH(O6,J2:J201,0),2)</f>
        <v>Sarah Davis</v>
      </c>
      <c r="R6" s="15">
        <v>0.05</v>
      </c>
      <c r="S6" s="14">
        <v>55637.061600000015</v>
      </c>
    </row>
    <row r="7" spans="1:26" ht="14.4" x14ac:dyDescent="0.3">
      <c r="A7" s="29" t="s">
        <v>75</v>
      </c>
      <c r="B7" s="29" t="s">
        <v>16</v>
      </c>
      <c r="C7" s="29" t="s">
        <v>22</v>
      </c>
      <c r="D7" s="29" t="s">
        <v>29</v>
      </c>
      <c r="E7" s="29">
        <v>727.73</v>
      </c>
      <c r="F7" s="29">
        <v>1</v>
      </c>
      <c r="G7" s="29">
        <f t="shared" si="0"/>
        <v>0.5</v>
      </c>
      <c r="H7" s="30">
        <v>45552</v>
      </c>
      <c r="I7" s="29">
        <v>229.23</v>
      </c>
      <c r="J7" s="5">
        <f t="shared" si="1"/>
        <v>727.73</v>
      </c>
      <c r="K7" s="5">
        <f t="shared" si="2"/>
        <v>109.15949999999999</v>
      </c>
      <c r="L7" s="26">
        <f t="shared" ca="1" si="3"/>
        <v>46007.395068518519</v>
      </c>
      <c r="M7"/>
      <c r="N7" s="22">
        <v>2</v>
      </c>
      <c r="O7" s="22">
        <f t="shared" si="4"/>
        <v>26882.82</v>
      </c>
      <c r="P7" s="5" t="str">
        <f t="shared" si="5"/>
        <v>David Brown</v>
      </c>
      <c r="R7" s="15">
        <v>0.1</v>
      </c>
      <c r="S7" s="14">
        <v>52708.7952</v>
      </c>
    </row>
    <row r="8" spans="1:26" ht="14.4" x14ac:dyDescent="0.3">
      <c r="A8" s="29" t="s">
        <v>43</v>
      </c>
      <c r="B8" s="29" t="s">
        <v>66</v>
      </c>
      <c r="C8" s="29" t="s">
        <v>26</v>
      </c>
      <c r="D8" s="29" t="s">
        <v>23</v>
      </c>
      <c r="E8" s="29">
        <v>741.61</v>
      </c>
      <c r="F8" s="29">
        <v>1</v>
      </c>
      <c r="G8" s="29">
        <f t="shared" si="0"/>
        <v>0.5</v>
      </c>
      <c r="H8" s="30">
        <v>45471</v>
      </c>
      <c r="I8" s="29">
        <v>148.32</v>
      </c>
      <c r="J8" s="5">
        <f t="shared" si="1"/>
        <v>741.61</v>
      </c>
      <c r="K8" s="5">
        <f t="shared" si="2"/>
        <v>111.2415</v>
      </c>
      <c r="L8" s="26">
        <f t="shared" ca="1" si="3"/>
        <v>46007.395068518519</v>
      </c>
      <c r="M8"/>
      <c r="N8" s="22">
        <v>3</v>
      </c>
      <c r="O8" s="22">
        <f t="shared" si="4"/>
        <v>23246.46</v>
      </c>
      <c r="P8" s="5" t="str">
        <f t="shared" si="5"/>
        <v>Mary Davis</v>
      </c>
      <c r="R8" s="15">
        <v>0.15</v>
      </c>
      <c r="S8" s="14">
        <v>49780.528800000007</v>
      </c>
    </row>
    <row r="9" spans="1:26" ht="14.4" x14ac:dyDescent="0.3">
      <c r="A9" s="29" t="s">
        <v>34</v>
      </c>
      <c r="B9" s="29" t="s">
        <v>40</v>
      </c>
      <c r="C9" s="29" t="s">
        <v>22</v>
      </c>
      <c r="D9" s="29" t="s">
        <v>23</v>
      </c>
      <c r="E9" s="29">
        <v>771.02</v>
      </c>
      <c r="F9" s="29">
        <v>1</v>
      </c>
      <c r="G9" s="29">
        <f t="shared" si="0"/>
        <v>0.5</v>
      </c>
      <c r="H9" s="30">
        <v>45585</v>
      </c>
      <c r="I9" s="29">
        <v>192.76</v>
      </c>
      <c r="J9" s="5">
        <f t="shared" si="1"/>
        <v>771.02</v>
      </c>
      <c r="K9" s="5">
        <f t="shared" si="2"/>
        <v>115.65299999999999</v>
      </c>
      <c r="L9" s="26">
        <f t="shared" ca="1" si="3"/>
        <v>46007.395068518519</v>
      </c>
      <c r="M9"/>
      <c r="N9" s="22">
        <v>4</v>
      </c>
      <c r="O9" s="22">
        <f t="shared" si="4"/>
        <v>23126.12</v>
      </c>
      <c r="P9" s="5" t="str">
        <f t="shared" si="5"/>
        <v>Mary Wilson</v>
      </c>
      <c r="R9" s="15">
        <v>0.2</v>
      </c>
      <c r="S9" s="14">
        <v>46852.262399999971</v>
      </c>
    </row>
    <row r="10" spans="1:26" ht="14.4" x14ac:dyDescent="0.3">
      <c r="A10" s="29" t="s">
        <v>46</v>
      </c>
      <c r="B10" s="29" t="s">
        <v>12</v>
      </c>
      <c r="C10" s="29" t="s">
        <v>36</v>
      </c>
      <c r="D10" s="29" t="s">
        <v>41</v>
      </c>
      <c r="E10" s="29">
        <v>804.81</v>
      </c>
      <c r="F10" s="29">
        <v>1</v>
      </c>
      <c r="G10" s="29">
        <f t="shared" si="0"/>
        <v>0.5</v>
      </c>
      <c r="H10" s="30">
        <v>45502</v>
      </c>
      <c r="I10" s="29">
        <v>344.06</v>
      </c>
      <c r="J10" s="5">
        <f t="shared" si="1"/>
        <v>804.81</v>
      </c>
      <c r="K10" s="5">
        <f t="shared" si="2"/>
        <v>120.72149999999999</v>
      </c>
      <c r="L10" s="26">
        <f t="shared" ca="1" si="3"/>
        <v>46007.395068518519</v>
      </c>
      <c r="M10"/>
      <c r="N10" s="22">
        <v>5</v>
      </c>
      <c r="O10" s="22">
        <f t="shared" si="4"/>
        <v>23001.3</v>
      </c>
      <c r="P10" s="5" t="str">
        <f t="shared" si="5"/>
        <v>James Taylor</v>
      </c>
      <c r="R10" s="15">
        <v>0.25</v>
      </c>
      <c r="S10" s="14">
        <v>43923.995999999985</v>
      </c>
    </row>
    <row r="11" spans="1:26" ht="14.4" x14ac:dyDescent="0.3">
      <c r="A11" s="29" t="s">
        <v>77</v>
      </c>
      <c r="B11" s="29" t="s">
        <v>47</v>
      </c>
      <c r="C11" s="29" t="s">
        <v>22</v>
      </c>
      <c r="D11" s="29" t="s">
        <v>23</v>
      </c>
      <c r="E11" s="29">
        <v>1061.04</v>
      </c>
      <c r="F11" s="29">
        <v>1</v>
      </c>
      <c r="G11" s="29">
        <f t="shared" si="0"/>
        <v>0.5</v>
      </c>
      <c r="H11" s="30">
        <v>45624</v>
      </c>
      <c r="I11" s="29">
        <v>265.26</v>
      </c>
      <c r="J11" s="5">
        <f t="shared" si="1"/>
        <v>1061.04</v>
      </c>
      <c r="K11" s="5">
        <f t="shared" si="2"/>
        <v>159.15599999999998</v>
      </c>
      <c r="L11" s="26">
        <f t="shared" ca="1" si="3"/>
        <v>46007.395068518519</v>
      </c>
      <c r="M11"/>
      <c r="N11" s="22">
        <v>6</v>
      </c>
      <c r="O11" s="22">
        <f t="shared" si="4"/>
        <v>22919.52</v>
      </c>
      <c r="P11" s="5" t="str">
        <f t="shared" si="5"/>
        <v>Michael Anderson</v>
      </c>
    </row>
    <row r="12" spans="1:26" ht="14.4" x14ac:dyDescent="0.3">
      <c r="A12" s="29" t="s">
        <v>32</v>
      </c>
      <c r="B12" s="29" t="s">
        <v>31</v>
      </c>
      <c r="C12" s="29" t="s">
        <v>13</v>
      </c>
      <c r="D12" s="29" t="s">
        <v>41</v>
      </c>
      <c r="E12" s="29">
        <v>1111.3399999999999</v>
      </c>
      <c r="F12" s="29">
        <v>1</v>
      </c>
      <c r="G12" s="29">
        <f t="shared" si="0"/>
        <v>0.5</v>
      </c>
      <c r="H12" s="30">
        <v>45523</v>
      </c>
      <c r="I12" s="29">
        <v>500.1</v>
      </c>
      <c r="J12" s="5">
        <f t="shared" si="1"/>
        <v>1111.3399999999999</v>
      </c>
      <c r="K12" s="5">
        <f t="shared" si="2"/>
        <v>166.70099999999999</v>
      </c>
      <c r="L12" s="26">
        <f t="shared" ca="1" si="3"/>
        <v>46007.395068518519</v>
      </c>
      <c r="M12"/>
      <c r="N12" s="22">
        <v>7</v>
      </c>
      <c r="O12" s="22">
        <f t="shared" si="4"/>
        <v>22709.789999999997</v>
      </c>
      <c r="P12" s="5" t="str">
        <f t="shared" si="5"/>
        <v>James Davis</v>
      </c>
    </row>
    <row r="13" spans="1:26" ht="14.4" x14ac:dyDescent="0.3">
      <c r="A13" s="29" t="s">
        <v>48</v>
      </c>
      <c r="B13" s="29" t="s">
        <v>73</v>
      </c>
      <c r="C13" s="29" t="s">
        <v>13</v>
      </c>
      <c r="D13" s="29" t="s">
        <v>29</v>
      </c>
      <c r="E13" s="29">
        <v>1193.6099999999999</v>
      </c>
      <c r="F13" s="29">
        <v>1</v>
      </c>
      <c r="G13" s="29">
        <f t="shared" si="0"/>
        <v>0.5</v>
      </c>
      <c r="H13" s="30">
        <v>45584</v>
      </c>
      <c r="I13" s="29">
        <v>355.1</v>
      </c>
      <c r="J13" s="5">
        <f t="shared" si="1"/>
        <v>1193.6099999999999</v>
      </c>
      <c r="K13" s="5">
        <f t="shared" si="2"/>
        <v>179.04149999999998</v>
      </c>
      <c r="L13" s="26">
        <f t="shared" ca="1" si="3"/>
        <v>46007.395068518519</v>
      </c>
      <c r="M13"/>
      <c r="N13" s="22">
        <v>8</v>
      </c>
      <c r="O13" s="22">
        <f t="shared" si="4"/>
        <v>22550.149999999998</v>
      </c>
      <c r="P13" s="5" t="str">
        <f t="shared" si="5"/>
        <v>Michael Anderson</v>
      </c>
    </row>
    <row r="14" spans="1:26" ht="14.4" x14ac:dyDescent="0.3">
      <c r="A14" s="29" t="s">
        <v>37</v>
      </c>
      <c r="B14" s="29" t="s">
        <v>38</v>
      </c>
      <c r="C14" s="29" t="s">
        <v>36</v>
      </c>
      <c r="D14" s="29" t="s">
        <v>17</v>
      </c>
      <c r="E14" s="29">
        <v>737.31</v>
      </c>
      <c r="F14" s="29">
        <v>2</v>
      </c>
      <c r="G14" s="29">
        <f t="shared" si="0"/>
        <v>0.5</v>
      </c>
      <c r="H14" s="30">
        <v>45401</v>
      </c>
      <c r="I14" s="29">
        <v>350.22</v>
      </c>
      <c r="J14" s="5">
        <f t="shared" si="1"/>
        <v>1474.62</v>
      </c>
      <c r="K14" s="5">
        <f t="shared" si="2"/>
        <v>110.59649999999999</v>
      </c>
      <c r="L14" s="26">
        <f t="shared" ca="1" si="3"/>
        <v>46007.395068518519</v>
      </c>
      <c r="M14"/>
      <c r="N14" s="22">
        <v>9</v>
      </c>
      <c r="O14" s="22">
        <f t="shared" si="4"/>
        <v>22252.420000000002</v>
      </c>
      <c r="P14" s="5" t="str">
        <f t="shared" si="5"/>
        <v>Mary Wilson</v>
      </c>
    </row>
    <row r="15" spans="1:26" ht="14.4" x14ac:dyDescent="0.3">
      <c r="A15" s="29" t="s">
        <v>18</v>
      </c>
      <c r="B15" s="29" t="s">
        <v>64</v>
      </c>
      <c r="C15" s="29" t="s">
        <v>36</v>
      </c>
      <c r="D15" s="29" t="s">
        <v>23</v>
      </c>
      <c r="E15" s="29">
        <v>856.7</v>
      </c>
      <c r="F15" s="29">
        <v>2</v>
      </c>
      <c r="G15" s="29">
        <f t="shared" si="0"/>
        <v>0.5</v>
      </c>
      <c r="H15" s="30">
        <v>45449</v>
      </c>
      <c r="I15" s="29">
        <v>214.18</v>
      </c>
      <c r="J15" s="5">
        <f t="shared" si="1"/>
        <v>1713.4</v>
      </c>
      <c r="K15" s="5">
        <f t="shared" si="2"/>
        <v>128.505</v>
      </c>
      <c r="L15" s="26">
        <f t="shared" ca="1" si="3"/>
        <v>46007.395068518519</v>
      </c>
      <c r="M15"/>
      <c r="N15" s="22">
        <v>10</v>
      </c>
      <c r="O15" s="22">
        <f t="shared" si="4"/>
        <v>22071.730000000003</v>
      </c>
      <c r="P15" s="5" t="str">
        <f t="shared" si="5"/>
        <v>Sarah Anderson</v>
      </c>
    </row>
    <row r="16" spans="1:26" ht="14.4" x14ac:dyDescent="0.3">
      <c r="A16" s="29" t="s">
        <v>43</v>
      </c>
      <c r="B16" s="29" t="s">
        <v>57</v>
      </c>
      <c r="C16" s="29" t="s">
        <v>13</v>
      </c>
      <c r="D16" s="29" t="s">
        <v>17</v>
      </c>
      <c r="E16" s="29">
        <v>864.98</v>
      </c>
      <c r="F16" s="29">
        <v>2</v>
      </c>
      <c r="G16" s="29">
        <f t="shared" si="0"/>
        <v>0.5</v>
      </c>
      <c r="H16" s="30">
        <v>45727</v>
      </c>
      <c r="I16" s="29">
        <v>410.87</v>
      </c>
      <c r="J16" s="5">
        <f t="shared" si="1"/>
        <v>1729.96</v>
      </c>
      <c r="K16" s="5">
        <f t="shared" si="2"/>
        <v>129.74699999999999</v>
      </c>
      <c r="L16" s="26">
        <f t="shared" ca="1" si="3"/>
        <v>46007.395068518519</v>
      </c>
      <c r="M16"/>
    </row>
    <row r="17" spans="1:16" ht="14.4" x14ac:dyDescent="0.3">
      <c r="A17" s="29" t="s">
        <v>62</v>
      </c>
      <c r="B17" s="29" t="s">
        <v>38</v>
      </c>
      <c r="C17" s="29" t="s">
        <v>22</v>
      </c>
      <c r="D17" s="29" t="s">
        <v>17</v>
      </c>
      <c r="E17" s="29">
        <v>928.32</v>
      </c>
      <c r="F17" s="29">
        <v>2</v>
      </c>
      <c r="G17" s="29">
        <f t="shared" si="0"/>
        <v>0.5</v>
      </c>
      <c r="H17" s="30">
        <v>45754</v>
      </c>
      <c r="I17" s="29">
        <v>440.95</v>
      </c>
      <c r="J17" s="5">
        <f t="shared" si="1"/>
        <v>1856.64</v>
      </c>
      <c r="K17" s="5">
        <f t="shared" si="2"/>
        <v>139.24799999999999</v>
      </c>
      <c r="L17" s="26">
        <f t="shared" ca="1" si="3"/>
        <v>46007.395068518519</v>
      </c>
      <c r="M17"/>
      <c r="N17" s="36" t="s">
        <v>154</v>
      </c>
      <c r="O17" s="37"/>
      <c r="P17" s="38"/>
    </row>
    <row r="18" spans="1:16" ht="14.4" x14ac:dyDescent="0.3">
      <c r="A18" s="29" t="s">
        <v>27</v>
      </c>
      <c r="B18" s="29" t="s">
        <v>16</v>
      </c>
      <c r="C18" s="29" t="s">
        <v>36</v>
      </c>
      <c r="D18" s="29" t="s">
        <v>14</v>
      </c>
      <c r="E18" s="29">
        <v>939.09</v>
      </c>
      <c r="F18" s="29">
        <v>2</v>
      </c>
      <c r="G18" s="29">
        <f t="shared" si="0"/>
        <v>0.5</v>
      </c>
      <c r="H18" s="30">
        <v>45422</v>
      </c>
      <c r="I18" s="29">
        <v>356.85</v>
      </c>
      <c r="J18" s="5">
        <f t="shared" si="1"/>
        <v>1878.18</v>
      </c>
      <c r="K18" s="5">
        <f t="shared" si="2"/>
        <v>140.86349999999999</v>
      </c>
      <c r="L18" s="26">
        <f t="shared" ca="1" si="3"/>
        <v>46007.395068518519</v>
      </c>
      <c r="M18"/>
      <c r="N18" s="4" t="s">
        <v>117</v>
      </c>
      <c r="O18" s="4" t="s">
        <v>131</v>
      </c>
      <c r="P18" s="4" t="s">
        <v>133</v>
      </c>
    </row>
    <row r="19" spans="1:16" ht="14.4" x14ac:dyDescent="0.3">
      <c r="A19" s="29" t="s">
        <v>77</v>
      </c>
      <c r="B19" s="29" t="s">
        <v>49</v>
      </c>
      <c r="C19" s="29" t="s">
        <v>22</v>
      </c>
      <c r="D19" s="29" t="s">
        <v>14</v>
      </c>
      <c r="E19" s="29">
        <v>966.3</v>
      </c>
      <c r="F19" s="29">
        <v>2</v>
      </c>
      <c r="G19" s="29">
        <f t="shared" si="0"/>
        <v>0.5</v>
      </c>
      <c r="H19" s="30">
        <v>45557</v>
      </c>
      <c r="I19" s="29">
        <v>328.54</v>
      </c>
      <c r="J19" s="5">
        <f t="shared" si="1"/>
        <v>1932.6</v>
      </c>
      <c r="K19" s="5">
        <f t="shared" si="2"/>
        <v>144.94499999999999</v>
      </c>
      <c r="L19" s="26">
        <f t="shared" ca="1" si="3"/>
        <v>46007.395068518519</v>
      </c>
      <c r="M19"/>
      <c r="N19" s="5" t="s">
        <v>118</v>
      </c>
      <c r="O19" s="5">
        <v>19030</v>
      </c>
      <c r="P19" s="11" t="s">
        <v>132</v>
      </c>
    </row>
    <row r="20" spans="1:16" ht="14.4" x14ac:dyDescent="0.3">
      <c r="A20" s="29" t="s">
        <v>56</v>
      </c>
      <c r="B20" s="29" t="s">
        <v>50</v>
      </c>
      <c r="C20" s="29" t="s">
        <v>20</v>
      </c>
      <c r="D20" s="29" t="s">
        <v>14</v>
      </c>
      <c r="E20" s="29">
        <v>1010.58</v>
      </c>
      <c r="F20" s="29">
        <v>2</v>
      </c>
      <c r="G20" s="29">
        <f t="shared" si="0"/>
        <v>0.5</v>
      </c>
      <c r="H20" s="30">
        <v>45605</v>
      </c>
      <c r="I20" s="29">
        <v>343.6</v>
      </c>
      <c r="J20" s="5">
        <f t="shared" si="1"/>
        <v>2021.16</v>
      </c>
      <c r="K20" s="5">
        <f t="shared" si="2"/>
        <v>151.58699999999999</v>
      </c>
      <c r="L20" s="26">
        <f t="shared" ca="1" si="3"/>
        <v>46007.395068518519</v>
      </c>
      <c r="M20"/>
      <c r="N20" s="5" t="s">
        <v>119</v>
      </c>
      <c r="O20" s="5">
        <v>18507.3</v>
      </c>
      <c r="P20" s="12">
        <f>(O20-O19)/O19</f>
        <v>-2.7467157120336351E-2</v>
      </c>
    </row>
    <row r="21" spans="1:16" ht="15.75" customHeight="1" x14ac:dyDescent="0.3">
      <c r="A21" s="29" t="s">
        <v>75</v>
      </c>
      <c r="B21" s="29" t="s">
        <v>55</v>
      </c>
      <c r="C21" s="29" t="s">
        <v>36</v>
      </c>
      <c r="D21" s="29" t="s">
        <v>14</v>
      </c>
      <c r="E21" s="29">
        <v>1014.43</v>
      </c>
      <c r="F21" s="29">
        <v>2</v>
      </c>
      <c r="G21" s="29">
        <f t="shared" si="0"/>
        <v>0.5</v>
      </c>
      <c r="H21" s="30">
        <v>45713</v>
      </c>
      <c r="I21" s="29">
        <v>344.91</v>
      </c>
      <c r="J21" s="5">
        <f t="shared" si="1"/>
        <v>2028.86</v>
      </c>
      <c r="K21" s="5">
        <f t="shared" si="2"/>
        <v>152.16449999999998</v>
      </c>
      <c r="L21" s="26">
        <f t="shared" ca="1" si="3"/>
        <v>46007.395068518519</v>
      </c>
      <c r="M21"/>
      <c r="N21" s="5" t="s">
        <v>120</v>
      </c>
      <c r="O21" s="5">
        <v>20187.5</v>
      </c>
      <c r="P21" s="12">
        <f t="shared" ref="P21:P31" si="6">(O21-O20)/O20</f>
        <v>9.0785798036450524E-2</v>
      </c>
    </row>
    <row r="22" spans="1:16" ht="15.75" customHeight="1" x14ac:dyDescent="0.3">
      <c r="A22" s="29" t="s">
        <v>46</v>
      </c>
      <c r="B22" s="29" t="s">
        <v>47</v>
      </c>
      <c r="C22" s="29" t="s">
        <v>36</v>
      </c>
      <c r="D22" s="29" t="s">
        <v>17</v>
      </c>
      <c r="E22" s="29">
        <v>1076.33</v>
      </c>
      <c r="F22" s="29">
        <v>2</v>
      </c>
      <c r="G22" s="29">
        <f t="shared" si="0"/>
        <v>0.5</v>
      </c>
      <c r="H22" s="30">
        <v>45674</v>
      </c>
      <c r="I22" s="29">
        <v>484.35</v>
      </c>
      <c r="J22" s="5">
        <f t="shared" si="1"/>
        <v>2152.66</v>
      </c>
      <c r="K22" s="5">
        <f t="shared" si="2"/>
        <v>161.44949999999997</v>
      </c>
      <c r="L22" s="26">
        <f t="shared" ca="1" si="3"/>
        <v>46007.395068518519</v>
      </c>
      <c r="M22"/>
      <c r="N22" s="5" t="s">
        <v>121</v>
      </c>
      <c r="O22" s="5">
        <v>11609</v>
      </c>
      <c r="P22" s="12">
        <f t="shared" si="6"/>
        <v>-0.42494117647058821</v>
      </c>
    </row>
    <row r="23" spans="1:16" ht="15.75" customHeight="1" x14ac:dyDescent="0.3">
      <c r="A23" s="29" t="s">
        <v>24</v>
      </c>
      <c r="B23" s="29" t="s">
        <v>66</v>
      </c>
      <c r="C23" s="29" t="s">
        <v>22</v>
      </c>
      <c r="D23" s="29" t="s">
        <v>29</v>
      </c>
      <c r="E23" s="29">
        <v>1086.93</v>
      </c>
      <c r="F23" s="29">
        <v>2</v>
      </c>
      <c r="G23" s="29">
        <f t="shared" si="0"/>
        <v>0.5</v>
      </c>
      <c r="H23" s="30">
        <v>45464</v>
      </c>
      <c r="I23" s="29">
        <v>380.43</v>
      </c>
      <c r="J23" s="5">
        <f t="shared" si="1"/>
        <v>2173.86</v>
      </c>
      <c r="K23" s="5">
        <f t="shared" si="2"/>
        <v>163.0395</v>
      </c>
      <c r="L23" s="26">
        <f t="shared" ca="1" si="3"/>
        <v>46007.395068518519</v>
      </c>
      <c r="M23"/>
      <c r="N23" s="5" t="s">
        <v>122</v>
      </c>
      <c r="O23" s="5">
        <v>10091.700000000001</v>
      </c>
      <c r="P23" s="12">
        <f t="shared" si="6"/>
        <v>-0.13070031871823579</v>
      </c>
    </row>
    <row r="24" spans="1:16" ht="15.75" customHeight="1" x14ac:dyDescent="0.3">
      <c r="A24" s="29" t="s">
        <v>54</v>
      </c>
      <c r="B24" s="29" t="s">
        <v>16</v>
      </c>
      <c r="C24" s="29" t="s">
        <v>22</v>
      </c>
      <c r="D24" s="29" t="s">
        <v>41</v>
      </c>
      <c r="E24" s="29">
        <v>740.8</v>
      </c>
      <c r="F24" s="29">
        <v>3</v>
      </c>
      <c r="G24" s="29">
        <f t="shared" si="0"/>
        <v>0.5</v>
      </c>
      <c r="H24" s="30">
        <v>45749</v>
      </c>
      <c r="I24" s="29">
        <v>333.36</v>
      </c>
      <c r="J24" s="5">
        <f t="shared" si="1"/>
        <v>2222.3999999999996</v>
      </c>
      <c r="K24" s="5">
        <f t="shared" si="2"/>
        <v>111.11999999999999</v>
      </c>
      <c r="L24" s="26">
        <f t="shared" ca="1" si="3"/>
        <v>46007.395068518519</v>
      </c>
      <c r="M24"/>
      <c r="N24" s="5" t="s">
        <v>123</v>
      </c>
      <c r="O24" s="5">
        <v>20533.5</v>
      </c>
      <c r="P24" s="12">
        <f t="shared" si="6"/>
        <v>1.0346918755016496</v>
      </c>
    </row>
    <row r="25" spans="1:16" ht="15.75" customHeight="1" x14ac:dyDescent="0.3">
      <c r="A25" s="29" t="s">
        <v>34</v>
      </c>
      <c r="B25" s="29" t="s">
        <v>33</v>
      </c>
      <c r="C25" s="29" t="s">
        <v>26</v>
      </c>
      <c r="D25" s="29" t="s">
        <v>14</v>
      </c>
      <c r="E25" s="29">
        <v>1189.83</v>
      </c>
      <c r="F25" s="29">
        <v>2</v>
      </c>
      <c r="G25" s="29">
        <f t="shared" si="0"/>
        <v>0.5</v>
      </c>
      <c r="H25" s="30">
        <v>45709</v>
      </c>
      <c r="I25" s="29">
        <v>380.75</v>
      </c>
      <c r="J25" s="5">
        <f t="shared" si="1"/>
        <v>2379.66</v>
      </c>
      <c r="K25" s="5">
        <f t="shared" si="2"/>
        <v>178.47449999999998</v>
      </c>
      <c r="L25" s="26">
        <f t="shared" ca="1" si="3"/>
        <v>46007.395068518519</v>
      </c>
      <c r="M25"/>
      <c r="N25" s="5" t="s">
        <v>124</v>
      </c>
      <c r="O25" s="5">
        <v>14215.2</v>
      </c>
      <c r="P25" s="12">
        <f t="shared" si="6"/>
        <v>-0.30770691796332816</v>
      </c>
    </row>
    <row r="26" spans="1:16" ht="15.75" customHeight="1" x14ac:dyDescent="0.3">
      <c r="A26" s="29" t="s">
        <v>54</v>
      </c>
      <c r="B26" s="29" t="s">
        <v>25</v>
      </c>
      <c r="C26" s="29" t="s">
        <v>22</v>
      </c>
      <c r="D26" s="29" t="s">
        <v>23</v>
      </c>
      <c r="E26" s="29">
        <v>801.21</v>
      </c>
      <c r="F26" s="29">
        <v>3</v>
      </c>
      <c r="G26" s="29">
        <f t="shared" si="0"/>
        <v>0.5</v>
      </c>
      <c r="H26" s="30">
        <v>45426</v>
      </c>
      <c r="I26" s="29">
        <v>160.24</v>
      </c>
      <c r="J26" s="5">
        <f t="shared" si="1"/>
        <v>2403.63</v>
      </c>
      <c r="K26" s="5">
        <f t="shared" si="2"/>
        <v>120.1815</v>
      </c>
      <c r="L26" s="26">
        <f t="shared" ca="1" si="3"/>
        <v>46007.395068518519</v>
      </c>
      <c r="M26"/>
      <c r="N26" s="5" t="s">
        <v>125</v>
      </c>
      <c r="O26" s="5">
        <v>20135</v>
      </c>
      <c r="P26" s="12">
        <f t="shared" si="6"/>
        <v>0.41644155551803697</v>
      </c>
    </row>
    <row r="27" spans="1:16" ht="15.75" customHeight="1" x14ac:dyDescent="0.3">
      <c r="A27" s="29" t="s">
        <v>69</v>
      </c>
      <c r="B27" s="29" t="s">
        <v>40</v>
      </c>
      <c r="C27" s="29" t="s">
        <v>26</v>
      </c>
      <c r="D27" s="29" t="s">
        <v>14</v>
      </c>
      <c r="E27" s="29">
        <v>1248.82</v>
      </c>
      <c r="F27" s="29">
        <v>2</v>
      </c>
      <c r="G27" s="29">
        <f t="shared" si="0"/>
        <v>0.5</v>
      </c>
      <c r="H27" s="30">
        <v>45473</v>
      </c>
      <c r="I27" s="29">
        <v>449.58</v>
      </c>
      <c r="J27" s="5">
        <f t="shared" si="1"/>
        <v>2497.64</v>
      </c>
      <c r="K27" s="5">
        <f t="shared" si="2"/>
        <v>187.32299999999998</v>
      </c>
      <c r="L27" s="26">
        <f t="shared" ca="1" si="3"/>
        <v>46007.395068518519</v>
      </c>
      <c r="M27"/>
      <c r="N27" s="5" t="s">
        <v>126</v>
      </c>
      <c r="O27" s="5">
        <v>11120</v>
      </c>
      <c r="P27" s="12">
        <f t="shared" si="6"/>
        <v>-0.44772783709957786</v>
      </c>
    </row>
    <row r="28" spans="1:16" ht="15.75" customHeight="1" x14ac:dyDescent="0.3">
      <c r="A28" s="29" t="s">
        <v>27</v>
      </c>
      <c r="B28" s="29" t="s">
        <v>40</v>
      </c>
      <c r="C28" s="29" t="s">
        <v>26</v>
      </c>
      <c r="D28" s="29" t="s">
        <v>41</v>
      </c>
      <c r="E28" s="29">
        <v>833.91</v>
      </c>
      <c r="F28" s="29">
        <v>3</v>
      </c>
      <c r="G28" s="29">
        <f t="shared" si="0"/>
        <v>0.5</v>
      </c>
      <c r="H28" s="30">
        <v>45626</v>
      </c>
      <c r="I28" s="29">
        <v>356.5</v>
      </c>
      <c r="J28" s="5">
        <f t="shared" si="1"/>
        <v>2501.73</v>
      </c>
      <c r="K28" s="5">
        <f t="shared" si="2"/>
        <v>125.08649999999999</v>
      </c>
      <c r="L28" s="26">
        <f t="shared" ca="1" si="3"/>
        <v>46007.395068518519</v>
      </c>
      <c r="M28"/>
      <c r="N28" s="5" t="s">
        <v>130</v>
      </c>
      <c r="O28" s="5">
        <v>14914.6</v>
      </c>
      <c r="P28" s="12">
        <f t="shared" si="6"/>
        <v>0.34124100719424466</v>
      </c>
    </row>
    <row r="29" spans="1:16" ht="15.75" customHeight="1" x14ac:dyDescent="0.3">
      <c r="A29" s="29" t="s">
        <v>30</v>
      </c>
      <c r="B29" s="29" t="s">
        <v>47</v>
      </c>
      <c r="C29" s="29" t="s">
        <v>13</v>
      </c>
      <c r="D29" s="29" t="s">
        <v>14</v>
      </c>
      <c r="E29" s="29">
        <v>636.70000000000005</v>
      </c>
      <c r="F29" s="29">
        <v>4</v>
      </c>
      <c r="G29" s="29">
        <f t="shared" si="0"/>
        <v>0.5</v>
      </c>
      <c r="H29" s="30">
        <v>45411</v>
      </c>
      <c r="I29" s="29">
        <v>203.74</v>
      </c>
      <c r="J29" s="5">
        <f t="shared" si="1"/>
        <v>2546.8000000000002</v>
      </c>
      <c r="K29" s="5">
        <f t="shared" si="2"/>
        <v>95.50500000000001</v>
      </c>
      <c r="L29" s="26">
        <f t="shared" ca="1" si="3"/>
        <v>46007.395068518519</v>
      </c>
      <c r="M29"/>
      <c r="N29" s="5" t="s">
        <v>127</v>
      </c>
      <c r="O29" s="5">
        <v>14006.4</v>
      </c>
      <c r="P29" s="12">
        <f t="shared" si="6"/>
        <v>-6.0893352822067016E-2</v>
      </c>
    </row>
    <row r="30" spans="1:16" ht="15.75" customHeight="1" x14ac:dyDescent="0.3">
      <c r="A30" s="29" t="s">
        <v>32</v>
      </c>
      <c r="B30" s="29" t="s">
        <v>33</v>
      </c>
      <c r="C30" s="29" t="s">
        <v>36</v>
      </c>
      <c r="D30" s="29" t="s">
        <v>23</v>
      </c>
      <c r="E30" s="29">
        <v>645.02</v>
      </c>
      <c r="F30" s="29">
        <v>4</v>
      </c>
      <c r="G30" s="29">
        <f t="shared" si="0"/>
        <v>0.5</v>
      </c>
      <c r="H30" s="30">
        <v>45414</v>
      </c>
      <c r="I30" s="29">
        <v>161.26</v>
      </c>
      <c r="J30" s="5">
        <f t="shared" si="1"/>
        <v>2580.08</v>
      </c>
      <c r="K30" s="5">
        <f t="shared" si="2"/>
        <v>96.753</v>
      </c>
      <c r="L30" s="26">
        <f t="shared" ca="1" si="3"/>
        <v>46007.395068518519</v>
      </c>
      <c r="M30"/>
      <c r="N30" s="5" t="s">
        <v>128</v>
      </c>
      <c r="O30" s="5">
        <v>17655.2</v>
      </c>
      <c r="P30" s="12">
        <f t="shared" si="6"/>
        <v>0.26050948137994068</v>
      </c>
    </row>
    <row r="31" spans="1:16" ht="15.75" customHeight="1" x14ac:dyDescent="0.3">
      <c r="A31" s="29" t="s">
        <v>21</v>
      </c>
      <c r="B31" s="29" t="s">
        <v>16</v>
      </c>
      <c r="C31" s="29" t="s">
        <v>22</v>
      </c>
      <c r="D31" s="29" t="s">
        <v>23</v>
      </c>
      <c r="E31" s="29">
        <v>760.93</v>
      </c>
      <c r="F31" s="29">
        <v>4</v>
      </c>
      <c r="G31" s="29">
        <f t="shared" si="0"/>
        <v>0.5</v>
      </c>
      <c r="H31" s="30">
        <v>45396</v>
      </c>
      <c r="I31" s="29">
        <v>161.69999999999999</v>
      </c>
      <c r="J31" s="5">
        <f t="shared" si="1"/>
        <v>3043.72</v>
      </c>
      <c r="K31" s="5">
        <f t="shared" si="2"/>
        <v>114.13949999999998</v>
      </c>
      <c r="L31" s="26">
        <f t="shared" ca="1" si="3"/>
        <v>46007.395068518519</v>
      </c>
      <c r="M31"/>
      <c r="N31" s="5" t="s">
        <v>129</v>
      </c>
      <c r="O31" s="5">
        <v>3212.17</v>
      </c>
      <c r="P31" s="12">
        <f t="shared" si="6"/>
        <v>-0.8180609678734877</v>
      </c>
    </row>
    <row r="32" spans="1:16" ht="15.75" customHeight="1" x14ac:dyDescent="0.3">
      <c r="A32" s="29" t="s">
        <v>32</v>
      </c>
      <c r="B32" s="29" t="s">
        <v>57</v>
      </c>
      <c r="C32" s="29" t="s">
        <v>13</v>
      </c>
      <c r="D32" s="29" t="s">
        <v>23</v>
      </c>
      <c r="E32" s="29">
        <v>1029.8</v>
      </c>
      <c r="F32" s="29">
        <v>3</v>
      </c>
      <c r="G32" s="29">
        <f t="shared" si="0"/>
        <v>0.5</v>
      </c>
      <c r="H32" s="30">
        <v>45708</v>
      </c>
      <c r="I32" s="29">
        <v>257.45</v>
      </c>
      <c r="J32" s="5">
        <f t="shared" si="1"/>
        <v>3089.3999999999996</v>
      </c>
      <c r="K32" s="5">
        <f t="shared" si="2"/>
        <v>154.47</v>
      </c>
      <c r="L32" s="26">
        <f t="shared" ca="1" si="3"/>
        <v>46007.395068518519</v>
      </c>
      <c r="M32"/>
    </row>
    <row r="33" spans="1:13" ht="15.75" customHeight="1" x14ac:dyDescent="0.3">
      <c r="A33" s="29" t="s">
        <v>30</v>
      </c>
      <c r="B33" s="29" t="s">
        <v>47</v>
      </c>
      <c r="C33" s="29" t="s">
        <v>26</v>
      </c>
      <c r="D33" s="29" t="s">
        <v>29</v>
      </c>
      <c r="E33" s="29">
        <v>1077.92</v>
      </c>
      <c r="F33" s="29">
        <v>3</v>
      </c>
      <c r="G33" s="29">
        <f t="shared" si="0"/>
        <v>0.5</v>
      </c>
      <c r="H33" s="30">
        <v>45608</v>
      </c>
      <c r="I33" s="29">
        <v>358.41</v>
      </c>
      <c r="J33" s="5">
        <f t="shared" si="1"/>
        <v>3233.76</v>
      </c>
      <c r="K33" s="5">
        <f t="shared" si="2"/>
        <v>161.68800000000002</v>
      </c>
      <c r="L33" s="26">
        <f t="shared" ca="1" si="3"/>
        <v>46007.395068518519</v>
      </c>
      <c r="M33"/>
    </row>
    <row r="34" spans="1:13" ht="15.75" customHeight="1" x14ac:dyDescent="0.3">
      <c r="A34" s="29" t="s">
        <v>60</v>
      </c>
      <c r="B34" s="29" t="s">
        <v>73</v>
      </c>
      <c r="C34" s="29" t="s">
        <v>13</v>
      </c>
      <c r="D34" s="29" t="s">
        <v>29</v>
      </c>
      <c r="E34" s="29">
        <v>820.19</v>
      </c>
      <c r="F34" s="29">
        <v>4</v>
      </c>
      <c r="G34" s="29">
        <f t="shared" ref="G34:G65" si="7">$R$2</f>
        <v>0.5</v>
      </c>
      <c r="H34" s="30">
        <v>45630</v>
      </c>
      <c r="I34" s="29">
        <v>229.65</v>
      </c>
      <c r="J34" s="5">
        <f t="shared" ref="J34:J65" si="8">E34*F34</f>
        <v>3280.76</v>
      </c>
      <c r="K34" s="5">
        <f t="shared" ref="K34:K65" si="9" xml:space="preserve"> (E34 - (E34 *$R$2)) * 0.3</f>
        <v>123.02850000000001</v>
      </c>
      <c r="L34" s="26">
        <f t="shared" ref="L34:L65" ca="1" si="10">NOW()</f>
        <v>46007.395068518519</v>
      </c>
      <c r="M34"/>
    </row>
    <row r="35" spans="1:13" ht="15.75" customHeight="1" x14ac:dyDescent="0.3">
      <c r="A35" s="29" t="s">
        <v>15</v>
      </c>
      <c r="B35" s="29" t="s">
        <v>16</v>
      </c>
      <c r="C35" s="29" t="s">
        <v>13</v>
      </c>
      <c r="D35" s="29" t="s">
        <v>17</v>
      </c>
      <c r="E35" s="29">
        <v>1101.28</v>
      </c>
      <c r="F35" s="29">
        <v>3</v>
      </c>
      <c r="G35" s="29">
        <f t="shared" si="7"/>
        <v>0.5</v>
      </c>
      <c r="H35" s="30">
        <v>45393</v>
      </c>
      <c r="I35" s="29">
        <v>440.51</v>
      </c>
      <c r="J35" s="5">
        <f t="shared" si="8"/>
        <v>3303.84</v>
      </c>
      <c r="K35" s="5">
        <f t="shared" si="9"/>
        <v>165.19199999999998</v>
      </c>
      <c r="L35" s="26">
        <f t="shared" ca="1" si="10"/>
        <v>46007.395068518519</v>
      </c>
      <c r="M35"/>
    </row>
    <row r="36" spans="1:13" ht="15.75" customHeight="1" x14ac:dyDescent="0.3">
      <c r="A36" s="29" t="s">
        <v>15</v>
      </c>
      <c r="B36" s="29" t="s">
        <v>47</v>
      </c>
      <c r="C36" s="29" t="s">
        <v>26</v>
      </c>
      <c r="D36" s="29" t="s">
        <v>17</v>
      </c>
      <c r="E36" s="29">
        <v>845.84</v>
      </c>
      <c r="F36" s="29">
        <v>4</v>
      </c>
      <c r="G36" s="29">
        <f t="shared" si="7"/>
        <v>0.5</v>
      </c>
      <c r="H36" s="30">
        <v>45707</v>
      </c>
      <c r="I36" s="29">
        <v>422.92</v>
      </c>
      <c r="J36" s="5">
        <f t="shared" si="8"/>
        <v>3383.36</v>
      </c>
      <c r="K36" s="5">
        <f t="shared" si="9"/>
        <v>126.876</v>
      </c>
      <c r="L36" s="26">
        <f t="shared" ca="1" si="10"/>
        <v>46007.395068518519</v>
      </c>
      <c r="M36"/>
    </row>
    <row r="37" spans="1:13" ht="15.75" customHeight="1" x14ac:dyDescent="0.3">
      <c r="A37" s="29" t="s">
        <v>60</v>
      </c>
      <c r="B37" s="29" t="s">
        <v>38</v>
      </c>
      <c r="C37" s="29" t="s">
        <v>13</v>
      </c>
      <c r="D37" s="29" t="s">
        <v>17</v>
      </c>
      <c r="E37" s="29">
        <v>379.77</v>
      </c>
      <c r="F37" s="29">
        <v>9</v>
      </c>
      <c r="G37" s="29">
        <f t="shared" si="7"/>
        <v>0.5</v>
      </c>
      <c r="H37" s="30">
        <v>45673</v>
      </c>
      <c r="I37" s="29">
        <v>180.39</v>
      </c>
      <c r="J37" s="5">
        <f t="shared" si="8"/>
        <v>3417.93</v>
      </c>
      <c r="K37" s="5">
        <f t="shared" si="9"/>
        <v>56.965499999999999</v>
      </c>
      <c r="L37" s="26">
        <f t="shared" ca="1" si="10"/>
        <v>46007.395068518519</v>
      </c>
      <c r="M37"/>
    </row>
    <row r="38" spans="1:13" ht="15.75" customHeight="1" x14ac:dyDescent="0.3">
      <c r="A38" s="29" t="s">
        <v>74</v>
      </c>
      <c r="B38" s="29" t="s">
        <v>47</v>
      </c>
      <c r="C38" s="29" t="s">
        <v>26</v>
      </c>
      <c r="D38" s="29" t="s">
        <v>29</v>
      </c>
      <c r="E38" s="29">
        <v>518.07000000000005</v>
      </c>
      <c r="F38" s="29">
        <v>7</v>
      </c>
      <c r="G38" s="29">
        <f t="shared" si="7"/>
        <v>0.5</v>
      </c>
      <c r="H38" s="30">
        <v>45522</v>
      </c>
      <c r="I38" s="29">
        <v>172.26</v>
      </c>
      <c r="J38" s="5">
        <f t="shared" si="8"/>
        <v>3626.4900000000002</v>
      </c>
      <c r="K38" s="5">
        <f t="shared" si="9"/>
        <v>77.71050000000001</v>
      </c>
      <c r="L38" s="26">
        <f t="shared" ca="1" si="10"/>
        <v>46007.395068518519</v>
      </c>
      <c r="M38"/>
    </row>
    <row r="39" spans="1:13" ht="15.75" customHeight="1" x14ac:dyDescent="0.3">
      <c r="A39" s="29" t="s">
        <v>43</v>
      </c>
      <c r="B39" s="29" t="s">
        <v>47</v>
      </c>
      <c r="C39" s="29" t="s">
        <v>20</v>
      </c>
      <c r="D39" s="29" t="s">
        <v>23</v>
      </c>
      <c r="E39" s="29">
        <v>919.18</v>
      </c>
      <c r="F39" s="29">
        <v>4</v>
      </c>
      <c r="G39" s="29">
        <f t="shared" si="7"/>
        <v>0.5</v>
      </c>
      <c r="H39" s="30">
        <v>45615</v>
      </c>
      <c r="I39" s="29">
        <v>195.33</v>
      </c>
      <c r="J39" s="5">
        <f t="shared" si="8"/>
        <v>3676.72</v>
      </c>
      <c r="K39" s="5">
        <f t="shared" si="9"/>
        <v>137.87699999999998</v>
      </c>
      <c r="L39" s="26">
        <f t="shared" ca="1" si="10"/>
        <v>46007.395068518519</v>
      </c>
      <c r="M39"/>
    </row>
    <row r="40" spans="1:13" ht="15.75" customHeight="1" x14ac:dyDescent="0.3">
      <c r="A40" s="29" t="s">
        <v>21</v>
      </c>
      <c r="B40" s="29" t="s">
        <v>55</v>
      </c>
      <c r="C40" s="29" t="s">
        <v>36</v>
      </c>
      <c r="D40" s="29" t="s">
        <v>29</v>
      </c>
      <c r="E40" s="29">
        <v>1261.3399999999999</v>
      </c>
      <c r="F40" s="29">
        <v>3</v>
      </c>
      <c r="G40" s="29">
        <f t="shared" si="7"/>
        <v>0.5</v>
      </c>
      <c r="H40" s="30">
        <v>45519</v>
      </c>
      <c r="I40" s="29">
        <v>441.47</v>
      </c>
      <c r="J40" s="5">
        <f t="shared" si="8"/>
        <v>3784.0199999999995</v>
      </c>
      <c r="K40" s="5">
        <f t="shared" si="9"/>
        <v>189.20099999999999</v>
      </c>
      <c r="L40" s="26">
        <f t="shared" ca="1" si="10"/>
        <v>46007.395068518519</v>
      </c>
      <c r="M40"/>
    </row>
    <row r="41" spans="1:13" ht="15.75" customHeight="1" x14ac:dyDescent="0.3">
      <c r="A41" s="29" t="s">
        <v>32</v>
      </c>
      <c r="B41" s="29" t="s">
        <v>61</v>
      </c>
      <c r="C41" s="29" t="s">
        <v>26</v>
      </c>
      <c r="D41" s="29" t="s">
        <v>29</v>
      </c>
      <c r="E41" s="29">
        <v>957.29</v>
      </c>
      <c r="F41" s="29">
        <v>4</v>
      </c>
      <c r="G41" s="29">
        <f t="shared" si="7"/>
        <v>0.5</v>
      </c>
      <c r="H41" s="30">
        <v>45605</v>
      </c>
      <c r="I41" s="29">
        <v>318.3</v>
      </c>
      <c r="J41" s="5">
        <f t="shared" si="8"/>
        <v>3829.16</v>
      </c>
      <c r="K41" s="5">
        <f t="shared" si="9"/>
        <v>143.59349999999998</v>
      </c>
      <c r="L41" s="26">
        <f t="shared" ca="1" si="10"/>
        <v>46007.395068518519</v>
      </c>
      <c r="M41"/>
    </row>
    <row r="42" spans="1:13" ht="15.75" customHeight="1" x14ac:dyDescent="0.3">
      <c r="A42" s="29" t="s">
        <v>15</v>
      </c>
      <c r="B42" s="29" t="s">
        <v>73</v>
      </c>
      <c r="C42" s="29" t="s">
        <v>22</v>
      </c>
      <c r="D42" s="29" t="s">
        <v>14</v>
      </c>
      <c r="E42" s="29">
        <v>804.45</v>
      </c>
      <c r="F42" s="29">
        <v>5</v>
      </c>
      <c r="G42" s="29">
        <f t="shared" si="7"/>
        <v>0.5</v>
      </c>
      <c r="H42" s="30">
        <v>45509</v>
      </c>
      <c r="I42" s="29">
        <v>257.42</v>
      </c>
      <c r="J42" s="5">
        <f t="shared" si="8"/>
        <v>4022.25</v>
      </c>
      <c r="K42" s="5">
        <f t="shared" si="9"/>
        <v>120.6675</v>
      </c>
      <c r="L42" s="26">
        <f t="shared" ca="1" si="10"/>
        <v>46007.395068518519</v>
      </c>
      <c r="M42"/>
    </row>
    <row r="43" spans="1:13" ht="15.75" customHeight="1" x14ac:dyDescent="0.3">
      <c r="A43" s="29" t="s">
        <v>60</v>
      </c>
      <c r="B43" s="29" t="s">
        <v>40</v>
      </c>
      <c r="C43" s="29" t="s">
        <v>36</v>
      </c>
      <c r="D43" s="29" t="s">
        <v>23</v>
      </c>
      <c r="E43" s="29">
        <v>511.74</v>
      </c>
      <c r="F43" s="29">
        <v>8</v>
      </c>
      <c r="G43" s="29">
        <f t="shared" si="7"/>
        <v>0.5</v>
      </c>
      <c r="H43" s="30">
        <v>45631</v>
      </c>
      <c r="I43" s="29">
        <v>121.54</v>
      </c>
      <c r="J43" s="5">
        <f t="shared" si="8"/>
        <v>4093.92</v>
      </c>
      <c r="K43" s="5">
        <f t="shared" si="9"/>
        <v>76.760999999999996</v>
      </c>
      <c r="L43" s="26">
        <f t="shared" ca="1" si="10"/>
        <v>46007.395068518519</v>
      </c>
      <c r="M43"/>
    </row>
    <row r="44" spans="1:13" ht="15.75" customHeight="1" x14ac:dyDescent="0.3">
      <c r="A44" s="29" t="s">
        <v>11</v>
      </c>
      <c r="B44" s="29" t="s">
        <v>12</v>
      </c>
      <c r="C44" s="29" t="s">
        <v>13</v>
      </c>
      <c r="D44" s="29" t="s">
        <v>14</v>
      </c>
      <c r="E44" s="29">
        <v>1036.0899999999999</v>
      </c>
      <c r="F44" s="29">
        <v>4</v>
      </c>
      <c r="G44" s="29">
        <f t="shared" si="7"/>
        <v>0.5</v>
      </c>
      <c r="H44" s="30">
        <v>45392</v>
      </c>
      <c r="I44" s="29">
        <v>331</v>
      </c>
      <c r="J44" s="5">
        <f t="shared" si="8"/>
        <v>4144.3599999999997</v>
      </c>
      <c r="K44" s="5">
        <f t="shared" si="9"/>
        <v>155.41349999999997</v>
      </c>
      <c r="L44" s="26">
        <f t="shared" ca="1" si="10"/>
        <v>46007.395068518519</v>
      </c>
      <c r="M44"/>
    </row>
    <row r="45" spans="1:13" ht="15.75" customHeight="1" x14ac:dyDescent="0.3">
      <c r="A45" s="29" t="s">
        <v>42</v>
      </c>
      <c r="B45" s="29" t="s">
        <v>33</v>
      </c>
      <c r="C45" s="29" t="s">
        <v>36</v>
      </c>
      <c r="D45" s="29" t="s">
        <v>23</v>
      </c>
      <c r="E45" s="29">
        <v>706.37</v>
      </c>
      <c r="F45" s="29">
        <v>6</v>
      </c>
      <c r="G45" s="29">
        <f t="shared" si="7"/>
        <v>0.5</v>
      </c>
      <c r="H45" s="30">
        <v>45416</v>
      </c>
      <c r="I45" s="29">
        <v>176.59</v>
      </c>
      <c r="J45" s="5">
        <f t="shared" si="8"/>
        <v>4238.22</v>
      </c>
      <c r="K45" s="5">
        <f t="shared" si="9"/>
        <v>105.9555</v>
      </c>
      <c r="L45" s="26">
        <f t="shared" ca="1" si="10"/>
        <v>46007.395068518519</v>
      </c>
      <c r="M45"/>
    </row>
    <row r="46" spans="1:13" ht="15.75" customHeight="1" x14ac:dyDescent="0.3">
      <c r="A46" s="29" t="s">
        <v>30</v>
      </c>
      <c r="B46" s="29" t="s">
        <v>49</v>
      </c>
      <c r="C46" s="29" t="s">
        <v>13</v>
      </c>
      <c r="D46" s="29" t="s">
        <v>29</v>
      </c>
      <c r="E46" s="29">
        <v>853.72</v>
      </c>
      <c r="F46" s="29">
        <v>5</v>
      </c>
      <c r="G46" s="29">
        <f t="shared" si="7"/>
        <v>0.5</v>
      </c>
      <c r="H46" s="30">
        <v>45428</v>
      </c>
      <c r="I46" s="29">
        <v>253.98</v>
      </c>
      <c r="J46" s="5">
        <f t="shared" si="8"/>
        <v>4268.6000000000004</v>
      </c>
      <c r="K46" s="5">
        <f t="shared" si="9"/>
        <v>128.05799999999999</v>
      </c>
      <c r="L46" s="26">
        <f t="shared" ca="1" si="10"/>
        <v>46007.395068518519</v>
      </c>
      <c r="M46"/>
    </row>
    <row r="47" spans="1:13" ht="15.75" customHeight="1" x14ac:dyDescent="0.3">
      <c r="A47" s="29" t="s">
        <v>62</v>
      </c>
      <c r="B47" s="29" t="s">
        <v>19</v>
      </c>
      <c r="C47" s="29" t="s">
        <v>22</v>
      </c>
      <c r="D47" s="29" t="s">
        <v>17</v>
      </c>
      <c r="E47" s="29">
        <v>870.23</v>
      </c>
      <c r="F47" s="29">
        <v>5</v>
      </c>
      <c r="G47" s="29">
        <f t="shared" si="7"/>
        <v>0.5</v>
      </c>
      <c r="H47" s="30">
        <v>45660</v>
      </c>
      <c r="I47" s="29">
        <v>413.36</v>
      </c>
      <c r="J47" s="5">
        <f t="shared" si="8"/>
        <v>4351.1499999999996</v>
      </c>
      <c r="K47" s="5">
        <f t="shared" si="9"/>
        <v>130.53450000000001</v>
      </c>
      <c r="L47" s="26">
        <f t="shared" ca="1" si="10"/>
        <v>46007.395068518519</v>
      </c>
      <c r="M47"/>
    </row>
    <row r="48" spans="1:13" ht="15.75" customHeight="1" x14ac:dyDescent="0.3">
      <c r="A48" s="29" t="s">
        <v>30</v>
      </c>
      <c r="B48" s="29" t="s">
        <v>73</v>
      </c>
      <c r="C48" s="29" t="s">
        <v>26</v>
      </c>
      <c r="D48" s="29" t="s">
        <v>17</v>
      </c>
      <c r="E48" s="29">
        <v>336.66</v>
      </c>
      <c r="F48" s="29">
        <v>13</v>
      </c>
      <c r="G48" s="29">
        <f t="shared" si="7"/>
        <v>0.5</v>
      </c>
      <c r="H48" s="30">
        <v>45651</v>
      </c>
      <c r="I48" s="29">
        <v>134.66</v>
      </c>
      <c r="J48" s="5">
        <f t="shared" si="8"/>
        <v>4376.58</v>
      </c>
      <c r="K48" s="5">
        <f t="shared" si="9"/>
        <v>50.499000000000002</v>
      </c>
      <c r="L48" s="26">
        <f t="shared" ca="1" si="10"/>
        <v>46007.395068518519</v>
      </c>
      <c r="M48"/>
    </row>
    <row r="49" spans="1:13" ht="15.75" customHeight="1" x14ac:dyDescent="0.3">
      <c r="A49" s="29" t="s">
        <v>37</v>
      </c>
      <c r="B49" s="29" t="s">
        <v>57</v>
      </c>
      <c r="C49" s="29" t="s">
        <v>36</v>
      </c>
      <c r="D49" s="29" t="s">
        <v>41</v>
      </c>
      <c r="E49" s="29">
        <v>488.99</v>
      </c>
      <c r="F49" s="29">
        <v>9</v>
      </c>
      <c r="G49" s="29">
        <f t="shared" si="7"/>
        <v>0.5</v>
      </c>
      <c r="H49" s="30">
        <v>45479</v>
      </c>
      <c r="I49" s="29">
        <v>220.05</v>
      </c>
      <c r="J49" s="5">
        <f t="shared" si="8"/>
        <v>4400.91</v>
      </c>
      <c r="K49" s="5">
        <f t="shared" si="9"/>
        <v>73.348500000000001</v>
      </c>
      <c r="L49" s="26">
        <f t="shared" ca="1" si="10"/>
        <v>46007.395068518519</v>
      </c>
      <c r="M49"/>
    </row>
    <row r="50" spans="1:13" ht="15.75" customHeight="1" x14ac:dyDescent="0.3">
      <c r="A50" s="29" t="s">
        <v>27</v>
      </c>
      <c r="B50" s="29" t="s">
        <v>68</v>
      </c>
      <c r="C50" s="29" t="s">
        <v>13</v>
      </c>
      <c r="D50" s="29" t="s">
        <v>29</v>
      </c>
      <c r="E50" s="29">
        <v>1101.55</v>
      </c>
      <c r="F50" s="29">
        <v>4</v>
      </c>
      <c r="G50" s="29">
        <f t="shared" si="7"/>
        <v>0.5</v>
      </c>
      <c r="H50" s="30">
        <v>45551</v>
      </c>
      <c r="I50" s="29">
        <v>346.99</v>
      </c>
      <c r="J50" s="5">
        <f t="shared" si="8"/>
        <v>4406.2</v>
      </c>
      <c r="K50" s="5">
        <f t="shared" si="9"/>
        <v>165.23249999999999</v>
      </c>
      <c r="L50" s="26">
        <f t="shared" ca="1" si="10"/>
        <v>46007.395068518519</v>
      </c>
      <c r="M50"/>
    </row>
    <row r="51" spans="1:13" ht="15.75" customHeight="1" x14ac:dyDescent="0.3">
      <c r="A51" s="29" t="s">
        <v>46</v>
      </c>
      <c r="B51" s="29" t="s">
        <v>53</v>
      </c>
      <c r="C51" s="29" t="s">
        <v>22</v>
      </c>
      <c r="D51" s="29" t="s">
        <v>23</v>
      </c>
      <c r="E51" s="29">
        <v>775.45</v>
      </c>
      <c r="F51" s="29">
        <v>6</v>
      </c>
      <c r="G51" s="29">
        <f t="shared" si="7"/>
        <v>0.5</v>
      </c>
      <c r="H51" s="30">
        <v>45457</v>
      </c>
      <c r="I51" s="29">
        <v>174.48</v>
      </c>
      <c r="J51" s="5">
        <f t="shared" si="8"/>
        <v>4652.7000000000007</v>
      </c>
      <c r="K51" s="5">
        <f t="shared" si="9"/>
        <v>116.3175</v>
      </c>
      <c r="L51" s="26">
        <f t="shared" ca="1" si="10"/>
        <v>46007.395068518519</v>
      </c>
      <c r="M51"/>
    </row>
    <row r="52" spans="1:13" ht="15.75" customHeight="1" x14ac:dyDescent="0.3">
      <c r="A52" s="29" t="s">
        <v>60</v>
      </c>
      <c r="B52" s="29" t="s">
        <v>38</v>
      </c>
      <c r="C52" s="29" t="s">
        <v>13</v>
      </c>
      <c r="D52" s="29" t="s">
        <v>17</v>
      </c>
      <c r="E52" s="29">
        <v>1168.8900000000001</v>
      </c>
      <c r="F52" s="29">
        <v>4</v>
      </c>
      <c r="G52" s="29">
        <f t="shared" si="7"/>
        <v>0.5</v>
      </c>
      <c r="H52" s="30">
        <v>45544</v>
      </c>
      <c r="I52" s="29">
        <v>526</v>
      </c>
      <c r="J52" s="5">
        <f t="shared" si="8"/>
        <v>4675.5600000000004</v>
      </c>
      <c r="K52" s="5">
        <f t="shared" si="9"/>
        <v>175.33350000000002</v>
      </c>
      <c r="L52" s="26">
        <f t="shared" ca="1" si="10"/>
        <v>46007.395068518519</v>
      </c>
      <c r="M52"/>
    </row>
    <row r="53" spans="1:13" ht="15.75" customHeight="1" x14ac:dyDescent="0.3">
      <c r="A53" s="29" t="s">
        <v>76</v>
      </c>
      <c r="B53" s="29" t="s">
        <v>25</v>
      </c>
      <c r="C53" s="29" t="s">
        <v>13</v>
      </c>
      <c r="D53" s="29" t="s">
        <v>23</v>
      </c>
      <c r="E53" s="29">
        <v>258.51</v>
      </c>
      <c r="F53" s="29">
        <v>19</v>
      </c>
      <c r="G53" s="29">
        <f t="shared" si="7"/>
        <v>0.5</v>
      </c>
      <c r="H53" s="30">
        <v>45616</v>
      </c>
      <c r="I53" s="29">
        <v>64.63</v>
      </c>
      <c r="J53" s="5">
        <f t="shared" si="8"/>
        <v>4911.6899999999996</v>
      </c>
      <c r="K53" s="5">
        <f t="shared" si="9"/>
        <v>38.776499999999999</v>
      </c>
      <c r="L53" s="26">
        <f t="shared" ca="1" si="10"/>
        <v>46007.395068518519</v>
      </c>
      <c r="M53"/>
    </row>
    <row r="54" spans="1:13" ht="15.75" customHeight="1" x14ac:dyDescent="0.3">
      <c r="A54" s="29" t="s">
        <v>75</v>
      </c>
      <c r="B54" s="29" t="s">
        <v>31</v>
      </c>
      <c r="C54" s="29" t="s">
        <v>36</v>
      </c>
      <c r="D54" s="29" t="s">
        <v>14</v>
      </c>
      <c r="E54" s="29">
        <v>1249.0999999999999</v>
      </c>
      <c r="F54" s="29">
        <v>4</v>
      </c>
      <c r="G54" s="29">
        <f t="shared" si="7"/>
        <v>0.5</v>
      </c>
      <c r="H54" s="30">
        <v>45597</v>
      </c>
      <c r="I54" s="29">
        <v>474.66</v>
      </c>
      <c r="J54" s="5">
        <f t="shared" si="8"/>
        <v>4996.3999999999996</v>
      </c>
      <c r="K54" s="5">
        <f t="shared" si="9"/>
        <v>187.36499999999998</v>
      </c>
      <c r="L54" s="26">
        <f t="shared" ca="1" si="10"/>
        <v>46007.395068518519</v>
      </c>
      <c r="M54"/>
    </row>
    <row r="55" spans="1:13" ht="15.75" customHeight="1" x14ac:dyDescent="0.3">
      <c r="A55" s="29" t="s">
        <v>54</v>
      </c>
      <c r="B55" s="29" t="s">
        <v>25</v>
      </c>
      <c r="C55" s="29" t="s">
        <v>36</v>
      </c>
      <c r="D55" s="29" t="s">
        <v>41</v>
      </c>
      <c r="E55" s="29">
        <v>1025.98</v>
      </c>
      <c r="F55" s="29">
        <v>5</v>
      </c>
      <c r="G55" s="29">
        <f t="shared" si="7"/>
        <v>0.5</v>
      </c>
      <c r="H55" s="30">
        <v>45447</v>
      </c>
      <c r="I55" s="29">
        <v>369.35</v>
      </c>
      <c r="J55" s="5">
        <f t="shared" si="8"/>
        <v>5129.8999999999996</v>
      </c>
      <c r="K55" s="5">
        <f t="shared" si="9"/>
        <v>153.89699999999999</v>
      </c>
      <c r="L55" s="26">
        <f t="shared" ca="1" si="10"/>
        <v>46007.395068518519</v>
      </c>
      <c r="M55"/>
    </row>
    <row r="56" spans="1:13" ht="15.75" customHeight="1" x14ac:dyDescent="0.3">
      <c r="A56" s="29" t="s">
        <v>72</v>
      </c>
      <c r="B56" s="29" t="s">
        <v>57</v>
      </c>
      <c r="C56" s="29" t="s">
        <v>20</v>
      </c>
      <c r="D56" s="29" t="s">
        <v>23</v>
      </c>
      <c r="E56" s="29">
        <v>539.77</v>
      </c>
      <c r="F56" s="29">
        <v>10</v>
      </c>
      <c r="G56" s="29">
        <f t="shared" si="7"/>
        <v>0.5</v>
      </c>
      <c r="H56" s="30">
        <v>45509</v>
      </c>
      <c r="I56" s="29">
        <v>114.7</v>
      </c>
      <c r="J56" s="5">
        <f t="shared" si="8"/>
        <v>5397.7</v>
      </c>
      <c r="K56" s="5">
        <f t="shared" si="9"/>
        <v>80.965499999999992</v>
      </c>
      <c r="L56" s="26">
        <f t="shared" ca="1" si="10"/>
        <v>46007.395068518519</v>
      </c>
      <c r="M56"/>
    </row>
    <row r="57" spans="1:13" ht="15.75" customHeight="1" x14ac:dyDescent="0.3">
      <c r="A57" s="29" t="s">
        <v>51</v>
      </c>
      <c r="B57" s="29" t="s">
        <v>16</v>
      </c>
      <c r="C57" s="29" t="s">
        <v>26</v>
      </c>
      <c r="D57" s="29" t="s">
        <v>23</v>
      </c>
      <c r="E57" s="29">
        <v>388.56</v>
      </c>
      <c r="F57" s="29">
        <v>14</v>
      </c>
      <c r="G57" s="29">
        <f t="shared" si="7"/>
        <v>0.5</v>
      </c>
      <c r="H57" s="30">
        <v>45416</v>
      </c>
      <c r="I57" s="29">
        <v>82.57</v>
      </c>
      <c r="J57" s="5">
        <f t="shared" si="8"/>
        <v>5439.84</v>
      </c>
      <c r="K57" s="5">
        <f t="shared" si="9"/>
        <v>58.283999999999999</v>
      </c>
      <c r="L57" s="26">
        <f t="shared" ca="1" si="10"/>
        <v>46007.395068518519</v>
      </c>
      <c r="M57"/>
    </row>
    <row r="58" spans="1:13" ht="15.75" customHeight="1" x14ac:dyDescent="0.3">
      <c r="A58" s="29" t="s">
        <v>43</v>
      </c>
      <c r="B58" s="29" t="s">
        <v>63</v>
      </c>
      <c r="C58" s="29" t="s">
        <v>22</v>
      </c>
      <c r="D58" s="29" t="s">
        <v>23</v>
      </c>
      <c r="E58" s="29">
        <v>1100.0999999999999</v>
      </c>
      <c r="F58" s="29">
        <v>5</v>
      </c>
      <c r="G58" s="29">
        <f t="shared" si="7"/>
        <v>0.5</v>
      </c>
      <c r="H58" s="30">
        <v>45482</v>
      </c>
      <c r="I58" s="29">
        <v>261.27</v>
      </c>
      <c r="J58" s="5">
        <f t="shared" si="8"/>
        <v>5500.5</v>
      </c>
      <c r="K58" s="5">
        <f t="shared" si="9"/>
        <v>165.01499999999999</v>
      </c>
      <c r="L58" s="26">
        <f t="shared" ca="1" si="10"/>
        <v>46007.395068518519</v>
      </c>
      <c r="M58"/>
    </row>
    <row r="59" spans="1:13" ht="15.75" customHeight="1" x14ac:dyDescent="0.3">
      <c r="A59" s="29" t="s">
        <v>70</v>
      </c>
      <c r="B59" s="29" t="s">
        <v>19</v>
      </c>
      <c r="C59" s="29" t="s">
        <v>22</v>
      </c>
      <c r="D59" s="29" t="s">
        <v>14</v>
      </c>
      <c r="E59" s="29">
        <v>917.48</v>
      </c>
      <c r="F59" s="29">
        <v>6</v>
      </c>
      <c r="G59" s="29">
        <f t="shared" si="7"/>
        <v>0.5</v>
      </c>
      <c r="H59" s="30">
        <v>45558</v>
      </c>
      <c r="I59" s="29">
        <v>366.99</v>
      </c>
      <c r="J59" s="5">
        <f t="shared" si="8"/>
        <v>5504.88</v>
      </c>
      <c r="K59" s="5">
        <f t="shared" si="9"/>
        <v>137.62199999999999</v>
      </c>
      <c r="L59" s="26">
        <f t="shared" ca="1" si="10"/>
        <v>46007.395068518519</v>
      </c>
      <c r="M59"/>
    </row>
    <row r="60" spans="1:13" ht="15.75" customHeight="1" x14ac:dyDescent="0.3">
      <c r="A60" s="29" t="s">
        <v>34</v>
      </c>
      <c r="B60" s="29" t="s">
        <v>35</v>
      </c>
      <c r="C60" s="29" t="s">
        <v>36</v>
      </c>
      <c r="D60" s="29" t="s">
        <v>14</v>
      </c>
      <c r="E60" s="29">
        <v>501.54</v>
      </c>
      <c r="F60" s="29">
        <v>11</v>
      </c>
      <c r="G60" s="29">
        <f t="shared" si="7"/>
        <v>0.5</v>
      </c>
      <c r="H60" s="30">
        <v>45401</v>
      </c>
      <c r="I60" s="29">
        <v>190.59</v>
      </c>
      <c r="J60" s="5">
        <f t="shared" si="8"/>
        <v>5516.9400000000005</v>
      </c>
      <c r="K60" s="5">
        <f t="shared" si="9"/>
        <v>75.230999999999995</v>
      </c>
      <c r="L60" s="26">
        <f t="shared" ca="1" si="10"/>
        <v>46007.395068518519</v>
      </c>
      <c r="M60"/>
    </row>
    <row r="61" spans="1:13" ht="15.75" customHeight="1" x14ac:dyDescent="0.3">
      <c r="A61" s="29" t="s">
        <v>54</v>
      </c>
      <c r="B61" s="29" t="s">
        <v>52</v>
      </c>
      <c r="C61" s="29" t="s">
        <v>36</v>
      </c>
      <c r="D61" s="29" t="s">
        <v>23</v>
      </c>
      <c r="E61" s="29">
        <v>790.08</v>
      </c>
      <c r="F61" s="29">
        <v>7</v>
      </c>
      <c r="G61" s="29">
        <f t="shared" si="7"/>
        <v>0.5</v>
      </c>
      <c r="H61" s="30">
        <v>45536</v>
      </c>
      <c r="I61" s="29">
        <v>177.77</v>
      </c>
      <c r="J61" s="5">
        <f t="shared" si="8"/>
        <v>5530.56</v>
      </c>
      <c r="K61" s="5">
        <f t="shared" si="9"/>
        <v>118.512</v>
      </c>
      <c r="L61" s="26">
        <f t="shared" ca="1" si="10"/>
        <v>46007.395068518519</v>
      </c>
      <c r="M61"/>
    </row>
    <row r="62" spans="1:13" ht="15.75" customHeight="1" x14ac:dyDescent="0.3">
      <c r="A62" s="29" t="s">
        <v>24</v>
      </c>
      <c r="B62" s="29" t="s">
        <v>33</v>
      </c>
      <c r="C62" s="29" t="s">
        <v>20</v>
      </c>
      <c r="D62" s="29" t="s">
        <v>17</v>
      </c>
      <c r="E62" s="29">
        <v>1109.98</v>
      </c>
      <c r="F62" s="29">
        <v>5</v>
      </c>
      <c r="G62" s="29">
        <f t="shared" si="7"/>
        <v>0.5</v>
      </c>
      <c r="H62" s="30">
        <v>45690</v>
      </c>
      <c r="I62" s="29">
        <v>443.99</v>
      </c>
      <c r="J62" s="5">
        <f t="shared" si="8"/>
        <v>5549.9</v>
      </c>
      <c r="K62" s="5">
        <f t="shared" si="9"/>
        <v>166.49699999999999</v>
      </c>
      <c r="L62" s="26">
        <f t="shared" ca="1" si="10"/>
        <v>46007.395068518519</v>
      </c>
      <c r="M62"/>
    </row>
    <row r="63" spans="1:13" ht="15.75" customHeight="1" x14ac:dyDescent="0.3">
      <c r="A63" s="29" t="s">
        <v>15</v>
      </c>
      <c r="B63" s="29" t="s">
        <v>28</v>
      </c>
      <c r="C63" s="29" t="s">
        <v>13</v>
      </c>
      <c r="D63" s="29" t="s">
        <v>14</v>
      </c>
      <c r="E63" s="29">
        <v>472.38</v>
      </c>
      <c r="F63" s="29">
        <v>12</v>
      </c>
      <c r="G63" s="29">
        <f t="shared" si="7"/>
        <v>0.5</v>
      </c>
      <c r="H63" s="30">
        <v>45429</v>
      </c>
      <c r="I63" s="29">
        <v>151.16</v>
      </c>
      <c r="J63" s="5">
        <f t="shared" si="8"/>
        <v>5668.5599999999995</v>
      </c>
      <c r="K63" s="5">
        <f t="shared" si="9"/>
        <v>70.856999999999999</v>
      </c>
      <c r="L63" s="26">
        <f t="shared" ca="1" si="10"/>
        <v>46007.395068518519</v>
      </c>
      <c r="M63"/>
    </row>
    <row r="64" spans="1:13" ht="15.75" customHeight="1" x14ac:dyDescent="0.3">
      <c r="A64" s="29" t="s">
        <v>54</v>
      </c>
      <c r="B64" s="29" t="s">
        <v>66</v>
      </c>
      <c r="C64" s="29" t="s">
        <v>26</v>
      </c>
      <c r="D64" s="29" t="s">
        <v>14</v>
      </c>
      <c r="E64" s="29">
        <v>710.52</v>
      </c>
      <c r="F64" s="29">
        <v>8</v>
      </c>
      <c r="G64" s="29">
        <f t="shared" si="7"/>
        <v>0.5</v>
      </c>
      <c r="H64" s="30">
        <v>45721</v>
      </c>
      <c r="I64" s="29">
        <v>255.79</v>
      </c>
      <c r="J64" s="5">
        <f t="shared" si="8"/>
        <v>5684.16</v>
      </c>
      <c r="K64" s="5">
        <f t="shared" si="9"/>
        <v>106.57799999999999</v>
      </c>
      <c r="L64" s="26">
        <f t="shared" ca="1" si="10"/>
        <v>46007.395068518519</v>
      </c>
      <c r="M64"/>
    </row>
    <row r="65" spans="1:13" ht="15.75" customHeight="1" x14ac:dyDescent="0.3">
      <c r="A65" s="29" t="s">
        <v>42</v>
      </c>
      <c r="B65" s="29" t="s">
        <v>16</v>
      </c>
      <c r="C65" s="29" t="s">
        <v>13</v>
      </c>
      <c r="D65" s="29" t="s">
        <v>29</v>
      </c>
      <c r="E65" s="29">
        <v>822.28</v>
      </c>
      <c r="F65" s="29">
        <v>7</v>
      </c>
      <c r="G65" s="29">
        <f t="shared" si="7"/>
        <v>0.5</v>
      </c>
      <c r="H65" s="30">
        <v>45406</v>
      </c>
      <c r="I65" s="29">
        <v>273.41000000000003</v>
      </c>
      <c r="J65" s="5">
        <f t="shared" si="8"/>
        <v>5755.96</v>
      </c>
      <c r="K65" s="5">
        <f t="shared" si="9"/>
        <v>123.34199999999998</v>
      </c>
      <c r="L65" s="26">
        <f t="shared" ca="1" si="10"/>
        <v>46007.395068518519</v>
      </c>
      <c r="M65"/>
    </row>
    <row r="66" spans="1:13" ht="15.75" customHeight="1" x14ac:dyDescent="0.3">
      <c r="A66" s="29" t="s">
        <v>67</v>
      </c>
      <c r="B66" s="29" t="s">
        <v>50</v>
      </c>
      <c r="C66" s="29" t="s">
        <v>13</v>
      </c>
      <c r="D66" s="29" t="s">
        <v>41</v>
      </c>
      <c r="E66" s="29">
        <v>827.25</v>
      </c>
      <c r="F66" s="29">
        <v>7</v>
      </c>
      <c r="G66" s="29">
        <f t="shared" ref="G66:G97" si="11">$R$2</f>
        <v>0.5</v>
      </c>
      <c r="H66" s="30">
        <v>45693</v>
      </c>
      <c r="I66" s="29">
        <v>335.04</v>
      </c>
      <c r="J66" s="5">
        <f t="shared" ref="J66:J97" si="12">E66*F66</f>
        <v>5790.75</v>
      </c>
      <c r="K66" s="5">
        <f t="shared" ref="K66:K97" si="13" xml:space="preserve"> (E66 - (E66 *$R$2)) * 0.3</f>
        <v>124.08749999999999</v>
      </c>
      <c r="L66" s="26">
        <f t="shared" ref="L66:L97" ca="1" si="14">NOW()</f>
        <v>46007.395068518519</v>
      </c>
      <c r="M66"/>
    </row>
    <row r="67" spans="1:13" ht="15.75" customHeight="1" x14ac:dyDescent="0.3">
      <c r="A67" s="29" t="s">
        <v>54</v>
      </c>
      <c r="B67" s="29" t="s">
        <v>52</v>
      </c>
      <c r="C67" s="29" t="s">
        <v>22</v>
      </c>
      <c r="D67" s="29" t="s">
        <v>17</v>
      </c>
      <c r="E67" s="29">
        <v>1163.01</v>
      </c>
      <c r="F67" s="29">
        <v>5</v>
      </c>
      <c r="G67" s="29">
        <f t="shared" si="11"/>
        <v>0.5</v>
      </c>
      <c r="H67" s="30">
        <v>45611</v>
      </c>
      <c r="I67" s="29">
        <v>581.5</v>
      </c>
      <c r="J67" s="5">
        <f t="shared" si="12"/>
        <v>5815.05</v>
      </c>
      <c r="K67" s="5">
        <f t="shared" si="13"/>
        <v>174.45149999999998</v>
      </c>
      <c r="L67" s="26">
        <f t="shared" ca="1" si="14"/>
        <v>46007.395068518519</v>
      </c>
      <c r="M67"/>
    </row>
    <row r="68" spans="1:13" ht="15.75" customHeight="1" x14ac:dyDescent="0.3">
      <c r="A68" s="29" t="s">
        <v>65</v>
      </c>
      <c r="B68" s="29" t="s">
        <v>63</v>
      </c>
      <c r="C68" s="29" t="s">
        <v>20</v>
      </c>
      <c r="D68" s="29" t="s">
        <v>14</v>
      </c>
      <c r="E68" s="29">
        <v>1213.48</v>
      </c>
      <c r="F68" s="29">
        <v>5</v>
      </c>
      <c r="G68" s="29">
        <f t="shared" si="11"/>
        <v>0.5</v>
      </c>
      <c r="H68" s="30">
        <v>45616</v>
      </c>
      <c r="I68" s="29">
        <v>461.12</v>
      </c>
      <c r="J68" s="5">
        <f t="shared" si="12"/>
        <v>6067.4</v>
      </c>
      <c r="K68" s="5">
        <f t="shared" si="13"/>
        <v>182.02199999999999</v>
      </c>
      <c r="L68" s="26">
        <f t="shared" ca="1" si="14"/>
        <v>46007.395068518519</v>
      </c>
      <c r="M68"/>
    </row>
    <row r="69" spans="1:13" ht="15.75" customHeight="1" x14ac:dyDescent="0.3">
      <c r="A69" s="29" t="s">
        <v>15</v>
      </c>
      <c r="B69" s="29" t="s">
        <v>31</v>
      </c>
      <c r="C69" s="29" t="s">
        <v>13</v>
      </c>
      <c r="D69" s="29" t="s">
        <v>23</v>
      </c>
      <c r="E69" s="29">
        <v>1215.26</v>
      </c>
      <c r="F69" s="29">
        <v>5</v>
      </c>
      <c r="G69" s="29">
        <f t="shared" si="11"/>
        <v>0.5</v>
      </c>
      <c r="H69" s="30">
        <v>45513</v>
      </c>
      <c r="I69" s="29">
        <v>258.24</v>
      </c>
      <c r="J69" s="5">
        <f t="shared" si="12"/>
        <v>6076.3</v>
      </c>
      <c r="K69" s="5">
        <f t="shared" si="13"/>
        <v>182.28899999999999</v>
      </c>
      <c r="L69" s="26">
        <f t="shared" ca="1" si="14"/>
        <v>46007.395068518519</v>
      </c>
      <c r="M69"/>
    </row>
    <row r="70" spans="1:13" ht="15.75" customHeight="1" x14ac:dyDescent="0.3">
      <c r="A70" s="29" t="s">
        <v>42</v>
      </c>
      <c r="B70" s="29" t="s">
        <v>58</v>
      </c>
      <c r="C70" s="29" t="s">
        <v>20</v>
      </c>
      <c r="D70" s="29" t="s">
        <v>41</v>
      </c>
      <c r="E70" s="29">
        <v>556.41999999999996</v>
      </c>
      <c r="F70" s="29">
        <v>11</v>
      </c>
      <c r="G70" s="29">
        <f t="shared" si="11"/>
        <v>0.5</v>
      </c>
      <c r="H70" s="30">
        <v>45447</v>
      </c>
      <c r="I70" s="29">
        <v>212.83</v>
      </c>
      <c r="J70" s="5">
        <f t="shared" si="12"/>
        <v>6120.62</v>
      </c>
      <c r="K70" s="5">
        <f t="shared" si="13"/>
        <v>83.462999999999994</v>
      </c>
      <c r="L70" s="26">
        <f t="shared" ca="1" si="14"/>
        <v>46007.395068518519</v>
      </c>
      <c r="M70"/>
    </row>
    <row r="71" spans="1:13" ht="15.75" customHeight="1" x14ac:dyDescent="0.3">
      <c r="A71" s="29" t="s">
        <v>27</v>
      </c>
      <c r="B71" s="29" t="s">
        <v>35</v>
      </c>
      <c r="C71" s="29" t="s">
        <v>22</v>
      </c>
      <c r="D71" s="29" t="s">
        <v>23</v>
      </c>
      <c r="E71" s="29">
        <v>1021.47</v>
      </c>
      <c r="F71" s="29">
        <v>6</v>
      </c>
      <c r="G71" s="29">
        <f t="shared" si="11"/>
        <v>0.5</v>
      </c>
      <c r="H71" s="30">
        <v>45461</v>
      </c>
      <c r="I71" s="29">
        <v>242.6</v>
      </c>
      <c r="J71" s="5">
        <f t="shared" si="12"/>
        <v>6128.82</v>
      </c>
      <c r="K71" s="5">
        <f t="shared" si="13"/>
        <v>153.22049999999999</v>
      </c>
      <c r="L71" s="26">
        <f t="shared" ca="1" si="14"/>
        <v>46007.395068518519</v>
      </c>
      <c r="M71"/>
    </row>
    <row r="72" spans="1:13" ht="15.75" customHeight="1" x14ac:dyDescent="0.3">
      <c r="A72" s="29" t="s">
        <v>34</v>
      </c>
      <c r="B72" s="29" t="s">
        <v>55</v>
      </c>
      <c r="C72" s="29" t="s">
        <v>22</v>
      </c>
      <c r="D72" s="29" t="s">
        <v>17</v>
      </c>
      <c r="E72" s="29">
        <v>689.43</v>
      </c>
      <c r="F72" s="29">
        <v>9</v>
      </c>
      <c r="G72" s="29">
        <f t="shared" si="11"/>
        <v>0.5</v>
      </c>
      <c r="H72" s="30">
        <v>45736</v>
      </c>
      <c r="I72" s="29">
        <v>310.24</v>
      </c>
      <c r="J72" s="5">
        <f t="shared" si="12"/>
        <v>6204.87</v>
      </c>
      <c r="K72" s="5">
        <f t="shared" si="13"/>
        <v>103.41449999999999</v>
      </c>
      <c r="L72" s="26">
        <f t="shared" ca="1" si="14"/>
        <v>46007.395068518519</v>
      </c>
      <c r="M72"/>
    </row>
    <row r="73" spans="1:13" ht="15.75" customHeight="1" x14ac:dyDescent="0.3">
      <c r="A73" s="29" t="s">
        <v>51</v>
      </c>
      <c r="B73" s="29" t="s">
        <v>47</v>
      </c>
      <c r="C73" s="29" t="s">
        <v>36</v>
      </c>
      <c r="D73" s="29" t="s">
        <v>41</v>
      </c>
      <c r="E73" s="29">
        <v>388.23</v>
      </c>
      <c r="F73" s="29">
        <v>16</v>
      </c>
      <c r="G73" s="29">
        <f t="shared" si="11"/>
        <v>0.5</v>
      </c>
      <c r="H73" s="30">
        <v>45650</v>
      </c>
      <c r="I73" s="29">
        <v>165.97</v>
      </c>
      <c r="J73" s="5">
        <f t="shared" si="12"/>
        <v>6211.68</v>
      </c>
      <c r="K73" s="5">
        <f t="shared" si="13"/>
        <v>58.234499999999997</v>
      </c>
      <c r="L73" s="26">
        <f t="shared" ca="1" si="14"/>
        <v>46007.395068518519</v>
      </c>
      <c r="M73"/>
    </row>
    <row r="74" spans="1:13" ht="15.75" customHeight="1" x14ac:dyDescent="0.3">
      <c r="A74" s="29" t="s">
        <v>32</v>
      </c>
      <c r="B74" s="29" t="s">
        <v>33</v>
      </c>
      <c r="C74" s="29" t="s">
        <v>20</v>
      </c>
      <c r="D74" s="29" t="s">
        <v>29</v>
      </c>
      <c r="E74" s="29">
        <v>1074.47</v>
      </c>
      <c r="F74" s="29">
        <v>6</v>
      </c>
      <c r="G74" s="29">
        <f t="shared" si="11"/>
        <v>0.5</v>
      </c>
      <c r="H74" s="30">
        <v>45401</v>
      </c>
      <c r="I74" s="29">
        <v>300.85000000000002</v>
      </c>
      <c r="J74" s="5">
        <f t="shared" si="12"/>
        <v>6446.82</v>
      </c>
      <c r="K74" s="5">
        <f t="shared" si="13"/>
        <v>161.1705</v>
      </c>
      <c r="L74" s="26">
        <f t="shared" ca="1" si="14"/>
        <v>46007.395068518519</v>
      </c>
      <c r="M74"/>
    </row>
    <row r="75" spans="1:13" ht="15.75" customHeight="1" x14ac:dyDescent="0.3">
      <c r="A75" s="29" t="s">
        <v>74</v>
      </c>
      <c r="B75" s="29" t="s">
        <v>31</v>
      </c>
      <c r="C75" s="29" t="s">
        <v>20</v>
      </c>
      <c r="D75" s="29" t="s">
        <v>14</v>
      </c>
      <c r="E75" s="29">
        <v>1099.69</v>
      </c>
      <c r="F75" s="29">
        <v>6</v>
      </c>
      <c r="G75" s="29">
        <f t="shared" si="11"/>
        <v>0.5</v>
      </c>
      <c r="H75" s="30">
        <v>45718</v>
      </c>
      <c r="I75" s="29">
        <v>439.88</v>
      </c>
      <c r="J75" s="5">
        <f t="shared" si="12"/>
        <v>6598.14</v>
      </c>
      <c r="K75" s="5">
        <f t="shared" si="13"/>
        <v>164.95349999999999</v>
      </c>
      <c r="L75" s="26">
        <f t="shared" ca="1" si="14"/>
        <v>46007.395068518519</v>
      </c>
      <c r="M75"/>
    </row>
    <row r="76" spans="1:13" ht="15.75" customHeight="1" x14ac:dyDescent="0.3">
      <c r="A76" s="29" t="s">
        <v>11</v>
      </c>
      <c r="B76" s="29" t="s">
        <v>33</v>
      </c>
      <c r="C76" s="29" t="s">
        <v>13</v>
      </c>
      <c r="D76" s="29" t="s">
        <v>14</v>
      </c>
      <c r="E76" s="29">
        <v>743.17</v>
      </c>
      <c r="F76" s="29">
        <v>9</v>
      </c>
      <c r="G76" s="29">
        <f t="shared" si="11"/>
        <v>0.5</v>
      </c>
      <c r="H76" s="30">
        <v>45416</v>
      </c>
      <c r="I76" s="29">
        <v>297.27</v>
      </c>
      <c r="J76" s="5">
        <f t="shared" si="12"/>
        <v>6688.53</v>
      </c>
      <c r="K76" s="5">
        <f t="shared" si="13"/>
        <v>111.4755</v>
      </c>
      <c r="L76" s="26">
        <f t="shared" ca="1" si="14"/>
        <v>46007.395068518519</v>
      </c>
      <c r="M76"/>
    </row>
    <row r="77" spans="1:13" ht="15.75" customHeight="1" x14ac:dyDescent="0.3">
      <c r="A77" s="29" t="s">
        <v>42</v>
      </c>
      <c r="B77" s="29" t="s">
        <v>19</v>
      </c>
      <c r="C77" s="29" t="s">
        <v>22</v>
      </c>
      <c r="D77" s="29" t="s">
        <v>17</v>
      </c>
      <c r="E77" s="29">
        <v>1118.3399999999999</v>
      </c>
      <c r="F77" s="29">
        <v>6</v>
      </c>
      <c r="G77" s="29">
        <f t="shared" si="11"/>
        <v>0.5</v>
      </c>
      <c r="H77" s="30">
        <v>45674</v>
      </c>
      <c r="I77" s="29">
        <v>447.34</v>
      </c>
      <c r="J77" s="5">
        <f t="shared" si="12"/>
        <v>6710.0399999999991</v>
      </c>
      <c r="K77" s="5">
        <f t="shared" si="13"/>
        <v>167.75099999999998</v>
      </c>
      <c r="L77" s="26">
        <f t="shared" ca="1" si="14"/>
        <v>46007.395068518519</v>
      </c>
      <c r="M77"/>
    </row>
    <row r="78" spans="1:13" ht="15.75" customHeight="1" x14ac:dyDescent="0.3">
      <c r="A78" s="29" t="s">
        <v>39</v>
      </c>
      <c r="B78" s="29" t="s">
        <v>73</v>
      </c>
      <c r="C78" s="29" t="s">
        <v>22</v>
      </c>
      <c r="D78" s="29" t="s">
        <v>29</v>
      </c>
      <c r="E78" s="29">
        <v>853.86</v>
      </c>
      <c r="F78" s="29">
        <v>8</v>
      </c>
      <c r="G78" s="29">
        <f t="shared" si="11"/>
        <v>0.5</v>
      </c>
      <c r="H78" s="30">
        <v>45622</v>
      </c>
      <c r="I78" s="29">
        <v>268.97000000000003</v>
      </c>
      <c r="J78" s="5">
        <f t="shared" si="12"/>
        <v>6830.88</v>
      </c>
      <c r="K78" s="5">
        <f t="shared" si="13"/>
        <v>128.07900000000001</v>
      </c>
      <c r="L78" s="26">
        <f t="shared" ca="1" si="14"/>
        <v>46007.395068518519</v>
      </c>
      <c r="M78"/>
    </row>
    <row r="79" spans="1:13" ht="15.75" customHeight="1" x14ac:dyDescent="0.3">
      <c r="A79" s="29" t="s">
        <v>70</v>
      </c>
      <c r="B79" s="29" t="s">
        <v>57</v>
      </c>
      <c r="C79" s="29" t="s">
        <v>13</v>
      </c>
      <c r="D79" s="29" t="s">
        <v>29</v>
      </c>
      <c r="E79" s="29">
        <v>1371.34</v>
      </c>
      <c r="F79" s="29">
        <v>5</v>
      </c>
      <c r="G79" s="29">
        <f t="shared" si="11"/>
        <v>0.5</v>
      </c>
      <c r="H79" s="30">
        <v>45488</v>
      </c>
      <c r="I79" s="29">
        <v>455.97</v>
      </c>
      <c r="J79" s="5">
        <f t="shared" si="12"/>
        <v>6856.7</v>
      </c>
      <c r="K79" s="5">
        <f t="shared" si="13"/>
        <v>205.70099999999999</v>
      </c>
      <c r="L79" s="26">
        <f t="shared" ca="1" si="14"/>
        <v>46007.395068518519</v>
      </c>
      <c r="M79"/>
    </row>
    <row r="80" spans="1:13" ht="15.75" customHeight="1" x14ac:dyDescent="0.3">
      <c r="A80" s="29" t="s">
        <v>27</v>
      </c>
      <c r="B80" s="29" t="s">
        <v>12</v>
      </c>
      <c r="C80" s="29" t="s">
        <v>22</v>
      </c>
      <c r="D80" s="29" t="s">
        <v>17</v>
      </c>
      <c r="E80" s="29">
        <v>762.14</v>
      </c>
      <c r="F80" s="29">
        <v>9</v>
      </c>
      <c r="G80" s="29">
        <f t="shared" si="11"/>
        <v>0.5</v>
      </c>
      <c r="H80" s="30">
        <v>45743</v>
      </c>
      <c r="I80" s="29">
        <v>381.07</v>
      </c>
      <c r="J80" s="5">
        <f t="shared" si="12"/>
        <v>6859.26</v>
      </c>
      <c r="K80" s="5">
        <f t="shared" si="13"/>
        <v>114.321</v>
      </c>
      <c r="L80" s="26">
        <f t="shared" ca="1" si="14"/>
        <v>46007.395068518519</v>
      </c>
      <c r="M80"/>
    </row>
    <row r="81" spans="1:13" ht="15.75" customHeight="1" x14ac:dyDescent="0.3">
      <c r="A81" s="29" t="s">
        <v>43</v>
      </c>
      <c r="B81" s="29" t="s">
        <v>28</v>
      </c>
      <c r="C81" s="29" t="s">
        <v>26</v>
      </c>
      <c r="D81" s="29" t="s">
        <v>23</v>
      </c>
      <c r="E81" s="29">
        <v>458.54</v>
      </c>
      <c r="F81" s="29">
        <v>15</v>
      </c>
      <c r="G81" s="29">
        <f t="shared" si="11"/>
        <v>0.5</v>
      </c>
      <c r="H81" s="30">
        <v>45741</v>
      </c>
      <c r="I81" s="29">
        <v>91.71</v>
      </c>
      <c r="J81" s="5">
        <f t="shared" si="12"/>
        <v>6878.1</v>
      </c>
      <c r="K81" s="5">
        <f t="shared" si="13"/>
        <v>68.781000000000006</v>
      </c>
      <c r="L81" s="26">
        <f t="shared" ca="1" si="14"/>
        <v>46007.395068518519</v>
      </c>
      <c r="M81"/>
    </row>
    <row r="82" spans="1:13" ht="15.75" customHeight="1" x14ac:dyDescent="0.3">
      <c r="A82" s="29" t="s">
        <v>77</v>
      </c>
      <c r="B82" s="29" t="s">
        <v>50</v>
      </c>
      <c r="C82" s="29" t="s">
        <v>26</v>
      </c>
      <c r="D82" s="29" t="s">
        <v>14</v>
      </c>
      <c r="E82" s="29">
        <v>640.64</v>
      </c>
      <c r="F82" s="29">
        <v>11</v>
      </c>
      <c r="G82" s="29">
        <f t="shared" si="11"/>
        <v>0.5</v>
      </c>
      <c r="H82" s="30">
        <v>45678</v>
      </c>
      <c r="I82" s="29">
        <v>205</v>
      </c>
      <c r="J82" s="5">
        <f t="shared" si="12"/>
        <v>7047.04</v>
      </c>
      <c r="K82" s="5">
        <f t="shared" si="13"/>
        <v>96.095999999999989</v>
      </c>
      <c r="L82" s="26">
        <f t="shared" ca="1" si="14"/>
        <v>46007.395068518519</v>
      </c>
      <c r="M82"/>
    </row>
    <row r="83" spans="1:13" ht="15.75" customHeight="1" x14ac:dyDescent="0.3">
      <c r="A83" s="29" t="s">
        <v>56</v>
      </c>
      <c r="B83" s="29" t="s">
        <v>57</v>
      </c>
      <c r="C83" s="29" t="s">
        <v>26</v>
      </c>
      <c r="D83" s="29" t="s">
        <v>23</v>
      </c>
      <c r="E83" s="29">
        <v>1450.71</v>
      </c>
      <c r="F83" s="29">
        <v>5</v>
      </c>
      <c r="G83" s="29">
        <f t="shared" si="11"/>
        <v>0.5</v>
      </c>
      <c r="H83" s="30">
        <v>45427</v>
      </c>
      <c r="I83" s="29">
        <v>326.41000000000003</v>
      </c>
      <c r="J83" s="5">
        <f t="shared" si="12"/>
        <v>7253.55</v>
      </c>
      <c r="K83" s="5">
        <f t="shared" si="13"/>
        <v>217.60650000000001</v>
      </c>
      <c r="L83" s="26">
        <f t="shared" ca="1" si="14"/>
        <v>46007.395068518519</v>
      </c>
      <c r="M83"/>
    </row>
    <row r="84" spans="1:13" ht="15.75" customHeight="1" x14ac:dyDescent="0.3">
      <c r="A84" s="29" t="s">
        <v>65</v>
      </c>
      <c r="B84" s="29" t="s">
        <v>71</v>
      </c>
      <c r="C84" s="29" t="s">
        <v>36</v>
      </c>
      <c r="D84" s="29" t="s">
        <v>17</v>
      </c>
      <c r="E84" s="29">
        <v>662.61</v>
      </c>
      <c r="F84" s="29">
        <v>11</v>
      </c>
      <c r="G84" s="29">
        <f t="shared" si="11"/>
        <v>0.5</v>
      </c>
      <c r="H84" s="30">
        <v>45658</v>
      </c>
      <c r="I84" s="29">
        <v>314.74</v>
      </c>
      <c r="J84" s="5">
        <f t="shared" si="12"/>
        <v>7288.71</v>
      </c>
      <c r="K84" s="5">
        <f t="shared" si="13"/>
        <v>99.391499999999994</v>
      </c>
      <c r="L84" s="26">
        <f t="shared" ca="1" si="14"/>
        <v>46007.395068518519</v>
      </c>
      <c r="M84"/>
    </row>
    <row r="85" spans="1:13" ht="15.75" customHeight="1" x14ac:dyDescent="0.3">
      <c r="A85" s="29" t="s">
        <v>15</v>
      </c>
      <c r="B85" s="29" t="s">
        <v>33</v>
      </c>
      <c r="C85" s="29" t="s">
        <v>36</v>
      </c>
      <c r="D85" s="29" t="s">
        <v>41</v>
      </c>
      <c r="E85" s="29">
        <v>925.31</v>
      </c>
      <c r="F85" s="29">
        <v>8</v>
      </c>
      <c r="G85" s="29">
        <f t="shared" si="11"/>
        <v>0.5</v>
      </c>
      <c r="H85" s="30">
        <v>45418</v>
      </c>
      <c r="I85" s="29">
        <v>374.75</v>
      </c>
      <c r="J85" s="5">
        <f t="shared" si="12"/>
        <v>7402.48</v>
      </c>
      <c r="K85" s="5">
        <f t="shared" si="13"/>
        <v>138.79649999999998</v>
      </c>
      <c r="L85" s="26">
        <f t="shared" ca="1" si="14"/>
        <v>46007.395068518519</v>
      </c>
      <c r="M85"/>
    </row>
    <row r="86" spans="1:13" ht="15.75" customHeight="1" x14ac:dyDescent="0.3">
      <c r="A86" s="29" t="s">
        <v>54</v>
      </c>
      <c r="B86" s="29" t="s">
        <v>25</v>
      </c>
      <c r="C86" s="29" t="s">
        <v>36</v>
      </c>
      <c r="D86" s="29" t="s">
        <v>41</v>
      </c>
      <c r="E86" s="29">
        <v>745.05</v>
      </c>
      <c r="F86" s="29">
        <v>10</v>
      </c>
      <c r="G86" s="29">
        <f t="shared" si="11"/>
        <v>0.5</v>
      </c>
      <c r="H86" s="30">
        <v>45660</v>
      </c>
      <c r="I86" s="29">
        <v>301.75</v>
      </c>
      <c r="J86" s="5">
        <f t="shared" si="12"/>
        <v>7450.5</v>
      </c>
      <c r="K86" s="5">
        <f t="shared" si="13"/>
        <v>111.75749999999999</v>
      </c>
      <c r="L86" s="26">
        <f t="shared" ca="1" si="14"/>
        <v>46007.395068518519</v>
      </c>
      <c r="M86"/>
    </row>
    <row r="87" spans="1:13" ht="15.75" customHeight="1" x14ac:dyDescent="0.3">
      <c r="A87" s="29" t="s">
        <v>39</v>
      </c>
      <c r="B87" s="29" t="s">
        <v>45</v>
      </c>
      <c r="C87" s="29" t="s">
        <v>13</v>
      </c>
      <c r="D87" s="29" t="s">
        <v>17</v>
      </c>
      <c r="E87" s="29">
        <v>934.27</v>
      </c>
      <c r="F87" s="29">
        <v>8</v>
      </c>
      <c r="G87" s="29">
        <f t="shared" si="11"/>
        <v>0.5</v>
      </c>
      <c r="H87" s="30">
        <v>45746</v>
      </c>
      <c r="I87" s="29">
        <v>397.06</v>
      </c>
      <c r="J87" s="5">
        <f t="shared" si="12"/>
        <v>7474.16</v>
      </c>
      <c r="K87" s="5">
        <f t="shared" si="13"/>
        <v>140.1405</v>
      </c>
      <c r="L87" s="26">
        <f t="shared" ca="1" si="14"/>
        <v>46007.395068518519</v>
      </c>
      <c r="M87"/>
    </row>
    <row r="88" spans="1:13" ht="15.75" customHeight="1" x14ac:dyDescent="0.3">
      <c r="A88" s="29" t="s">
        <v>54</v>
      </c>
      <c r="B88" s="29" t="s">
        <v>61</v>
      </c>
      <c r="C88" s="29" t="s">
        <v>26</v>
      </c>
      <c r="D88" s="29" t="s">
        <v>14</v>
      </c>
      <c r="E88" s="29">
        <v>499.18</v>
      </c>
      <c r="F88" s="29">
        <v>15</v>
      </c>
      <c r="G88" s="29">
        <f t="shared" si="11"/>
        <v>0.5</v>
      </c>
      <c r="H88" s="30">
        <v>45724</v>
      </c>
      <c r="I88" s="29">
        <v>159.74</v>
      </c>
      <c r="J88" s="5">
        <f t="shared" si="12"/>
        <v>7487.7</v>
      </c>
      <c r="K88" s="5">
        <f t="shared" si="13"/>
        <v>74.876999999999995</v>
      </c>
      <c r="L88" s="26">
        <f t="shared" ca="1" si="14"/>
        <v>46007.395068518519</v>
      </c>
      <c r="M88"/>
    </row>
    <row r="89" spans="1:13" ht="15.75" customHeight="1" x14ac:dyDescent="0.3">
      <c r="A89" s="29" t="s">
        <v>21</v>
      </c>
      <c r="B89" s="29" t="s">
        <v>50</v>
      </c>
      <c r="C89" s="29" t="s">
        <v>36</v>
      </c>
      <c r="D89" s="29" t="s">
        <v>14</v>
      </c>
      <c r="E89" s="29">
        <v>1070.68</v>
      </c>
      <c r="F89" s="29">
        <v>7</v>
      </c>
      <c r="G89" s="29">
        <f t="shared" si="11"/>
        <v>0.5</v>
      </c>
      <c r="H89" s="30">
        <v>45536</v>
      </c>
      <c r="I89" s="29">
        <v>406.86</v>
      </c>
      <c r="J89" s="5">
        <f t="shared" si="12"/>
        <v>7494.76</v>
      </c>
      <c r="K89" s="5">
        <f t="shared" si="13"/>
        <v>160.602</v>
      </c>
      <c r="L89" s="26">
        <f t="shared" ca="1" si="14"/>
        <v>46007.395068518519</v>
      </c>
      <c r="M89"/>
    </row>
    <row r="90" spans="1:13" ht="15.75" customHeight="1" x14ac:dyDescent="0.3">
      <c r="A90" s="29" t="s">
        <v>24</v>
      </c>
      <c r="B90" s="29" t="s">
        <v>55</v>
      </c>
      <c r="C90" s="29" t="s">
        <v>26</v>
      </c>
      <c r="D90" s="29" t="s">
        <v>14</v>
      </c>
      <c r="E90" s="29">
        <v>750.71</v>
      </c>
      <c r="F90" s="29">
        <v>10</v>
      </c>
      <c r="G90" s="29">
        <f t="shared" si="11"/>
        <v>0.5</v>
      </c>
      <c r="H90" s="30">
        <v>45743</v>
      </c>
      <c r="I90" s="29">
        <v>255.24</v>
      </c>
      <c r="J90" s="5">
        <f t="shared" si="12"/>
        <v>7507.1</v>
      </c>
      <c r="K90" s="5">
        <f t="shared" si="13"/>
        <v>112.6065</v>
      </c>
      <c r="L90" s="26">
        <f t="shared" ca="1" si="14"/>
        <v>46007.395068518519</v>
      </c>
      <c r="M90"/>
    </row>
    <row r="91" spans="1:13" ht="15.75" customHeight="1" x14ac:dyDescent="0.3">
      <c r="A91" s="29" t="s">
        <v>11</v>
      </c>
      <c r="B91" s="29" t="s">
        <v>57</v>
      </c>
      <c r="C91" s="29" t="s">
        <v>20</v>
      </c>
      <c r="D91" s="29" t="s">
        <v>41</v>
      </c>
      <c r="E91" s="29">
        <v>840.92</v>
      </c>
      <c r="F91" s="29">
        <v>9</v>
      </c>
      <c r="G91" s="29">
        <f t="shared" si="11"/>
        <v>0.5</v>
      </c>
      <c r="H91" s="30">
        <v>45429</v>
      </c>
      <c r="I91" s="29">
        <v>359.49</v>
      </c>
      <c r="J91" s="5">
        <f t="shared" si="12"/>
        <v>7568.28</v>
      </c>
      <c r="K91" s="5">
        <f t="shared" si="13"/>
        <v>126.13799999999999</v>
      </c>
      <c r="L91" s="26">
        <f t="shared" ca="1" si="14"/>
        <v>46007.395068518519</v>
      </c>
      <c r="M91"/>
    </row>
    <row r="92" spans="1:13" ht="15.75" customHeight="1" x14ac:dyDescent="0.3">
      <c r="A92" s="29" t="s">
        <v>39</v>
      </c>
      <c r="B92" s="29" t="s">
        <v>66</v>
      </c>
      <c r="C92" s="29" t="s">
        <v>22</v>
      </c>
      <c r="D92" s="29" t="s">
        <v>14</v>
      </c>
      <c r="E92" s="29">
        <v>961.62</v>
      </c>
      <c r="F92" s="29">
        <v>8</v>
      </c>
      <c r="G92" s="29">
        <f t="shared" si="11"/>
        <v>0.5</v>
      </c>
      <c r="H92" s="30">
        <v>45577</v>
      </c>
      <c r="I92" s="29">
        <v>307.72000000000003</v>
      </c>
      <c r="J92" s="5">
        <f t="shared" si="12"/>
        <v>7692.96</v>
      </c>
      <c r="K92" s="5">
        <f t="shared" si="13"/>
        <v>144.24299999999999</v>
      </c>
      <c r="L92" s="26">
        <f t="shared" ca="1" si="14"/>
        <v>46007.395068518519</v>
      </c>
      <c r="M92"/>
    </row>
    <row r="93" spans="1:13" ht="15.75" customHeight="1" x14ac:dyDescent="0.3">
      <c r="A93" s="29" t="s">
        <v>27</v>
      </c>
      <c r="B93" s="29" t="s">
        <v>28</v>
      </c>
      <c r="C93" s="29" t="s">
        <v>26</v>
      </c>
      <c r="D93" s="29" t="s">
        <v>29</v>
      </c>
      <c r="E93" s="29">
        <v>965.64</v>
      </c>
      <c r="F93" s="29">
        <v>8</v>
      </c>
      <c r="G93" s="29">
        <f t="shared" si="11"/>
        <v>0.5</v>
      </c>
      <c r="H93" s="30">
        <v>45398</v>
      </c>
      <c r="I93" s="29">
        <v>304.18</v>
      </c>
      <c r="J93" s="5">
        <f t="shared" si="12"/>
        <v>7725.12</v>
      </c>
      <c r="K93" s="5">
        <f t="shared" si="13"/>
        <v>144.846</v>
      </c>
      <c r="L93" s="26">
        <f t="shared" ca="1" si="14"/>
        <v>46007.395068518519</v>
      </c>
      <c r="M93"/>
    </row>
    <row r="94" spans="1:13" ht="15.75" customHeight="1" x14ac:dyDescent="0.3">
      <c r="A94" s="29" t="s">
        <v>43</v>
      </c>
      <c r="B94" s="29" t="s">
        <v>44</v>
      </c>
      <c r="C94" s="29" t="s">
        <v>26</v>
      </c>
      <c r="D94" s="29" t="s">
        <v>29</v>
      </c>
      <c r="E94" s="29">
        <v>521.66999999999996</v>
      </c>
      <c r="F94" s="29">
        <v>15</v>
      </c>
      <c r="G94" s="29">
        <f t="shared" si="11"/>
        <v>0.5</v>
      </c>
      <c r="H94" s="30">
        <v>45409</v>
      </c>
      <c r="I94" s="29">
        <v>155.19999999999999</v>
      </c>
      <c r="J94" s="5">
        <f t="shared" si="12"/>
        <v>7825.0499999999993</v>
      </c>
      <c r="K94" s="5">
        <f t="shared" si="13"/>
        <v>78.250499999999988</v>
      </c>
      <c r="L94" s="26">
        <f t="shared" ca="1" si="14"/>
        <v>46007.395068518519</v>
      </c>
      <c r="M94"/>
    </row>
    <row r="95" spans="1:13" ht="15.75" customHeight="1" x14ac:dyDescent="0.3">
      <c r="A95" s="29" t="s">
        <v>42</v>
      </c>
      <c r="B95" s="29" t="s">
        <v>57</v>
      </c>
      <c r="C95" s="29" t="s">
        <v>20</v>
      </c>
      <c r="D95" s="29" t="s">
        <v>29</v>
      </c>
      <c r="E95" s="29">
        <v>873.7</v>
      </c>
      <c r="F95" s="29">
        <v>9</v>
      </c>
      <c r="G95" s="29">
        <f t="shared" si="11"/>
        <v>0.5</v>
      </c>
      <c r="H95" s="30">
        <v>45546</v>
      </c>
      <c r="I95" s="29">
        <v>305.8</v>
      </c>
      <c r="J95" s="5">
        <f t="shared" si="12"/>
        <v>7863.3</v>
      </c>
      <c r="K95" s="5">
        <f t="shared" si="13"/>
        <v>131.05500000000001</v>
      </c>
      <c r="L95" s="26">
        <f t="shared" ca="1" si="14"/>
        <v>46007.395068518519</v>
      </c>
      <c r="M95"/>
    </row>
    <row r="96" spans="1:13" ht="15.75" customHeight="1" x14ac:dyDescent="0.3">
      <c r="A96" s="29" t="s">
        <v>74</v>
      </c>
      <c r="B96" s="29" t="s">
        <v>12</v>
      </c>
      <c r="C96" s="29" t="s">
        <v>20</v>
      </c>
      <c r="D96" s="29" t="s">
        <v>41</v>
      </c>
      <c r="E96" s="29">
        <v>1311.26</v>
      </c>
      <c r="F96" s="29">
        <v>6</v>
      </c>
      <c r="G96" s="29">
        <f t="shared" si="11"/>
        <v>0.5</v>
      </c>
      <c r="H96" s="30">
        <v>45698</v>
      </c>
      <c r="I96" s="29">
        <v>531.05999999999995</v>
      </c>
      <c r="J96" s="5">
        <f t="shared" si="12"/>
        <v>7867.5599999999995</v>
      </c>
      <c r="K96" s="5">
        <f t="shared" si="13"/>
        <v>196.68899999999999</v>
      </c>
      <c r="L96" s="26">
        <f t="shared" ca="1" si="14"/>
        <v>46007.395068518519</v>
      </c>
      <c r="M96"/>
    </row>
    <row r="97" spans="1:13" ht="15.75" customHeight="1" x14ac:dyDescent="0.3">
      <c r="A97" s="29" t="s">
        <v>69</v>
      </c>
      <c r="B97" s="29" t="s">
        <v>40</v>
      </c>
      <c r="C97" s="29" t="s">
        <v>20</v>
      </c>
      <c r="D97" s="29" t="s">
        <v>41</v>
      </c>
      <c r="E97" s="29">
        <v>438.76</v>
      </c>
      <c r="F97" s="29">
        <v>18</v>
      </c>
      <c r="G97" s="29">
        <f t="shared" si="11"/>
        <v>0.5</v>
      </c>
      <c r="H97" s="30">
        <v>45726</v>
      </c>
      <c r="I97" s="29">
        <v>187.57</v>
      </c>
      <c r="J97" s="5">
        <f t="shared" si="12"/>
        <v>7897.68</v>
      </c>
      <c r="K97" s="5">
        <f t="shared" si="13"/>
        <v>65.813999999999993</v>
      </c>
      <c r="L97" s="26">
        <f t="shared" ca="1" si="14"/>
        <v>46007.395068518519</v>
      </c>
      <c r="M97"/>
    </row>
    <row r="98" spans="1:13" ht="15.75" customHeight="1" x14ac:dyDescent="0.3">
      <c r="A98" s="29" t="s">
        <v>62</v>
      </c>
      <c r="B98" s="29" t="s">
        <v>28</v>
      </c>
      <c r="C98" s="29" t="s">
        <v>26</v>
      </c>
      <c r="D98" s="29" t="s">
        <v>17</v>
      </c>
      <c r="E98" s="29">
        <v>990.19</v>
      </c>
      <c r="F98" s="29">
        <v>8</v>
      </c>
      <c r="G98" s="29">
        <f t="shared" ref="G98:G129" si="15">$R$2</f>
        <v>0.5</v>
      </c>
      <c r="H98" s="30">
        <v>45565</v>
      </c>
      <c r="I98" s="29">
        <v>445.59</v>
      </c>
      <c r="J98" s="5">
        <f t="shared" ref="J98:J129" si="16">E98*F98</f>
        <v>7921.52</v>
      </c>
      <c r="K98" s="5">
        <f t="shared" ref="K98:K129" si="17" xml:space="preserve"> (E98 - (E98 *$R$2)) * 0.3</f>
        <v>148.52850000000001</v>
      </c>
      <c r="L98" s="26">
        <f t="shared" ref="L98:L129" ca="1" si="18">NOW()</f>
        <v>46007.395068518519</v>
      </c>
      <c r="M98"/>
    </row>
    <row r="99" spans="1:13" ht="15.75" customHeight="1" x14ac:dyDescent="0.3">
      <c r="A99" s="29" t="s">
        <v>37</v>
      </c>
      <c r="B99" s="29" t="s">
        <v>38</v>
      </c>
      <c r="C99" s="29" t="s">
        <v>20</v>
      </c>
      <c r="D99" s="29" t="s">
        <v>14</v>
      </c>
      <c r="E99" s="29">
        <v>997.61</v>
      </c>
      <c r="F99" s="29">
        <v>8</v>
      </c>
      <c r="G99" s="29">
        <f t="shared" si="15"/>
        <v>0.5</v>
      </c>
      <c r="H99" s="30">
        <v>45752</v>
      </c>
      <c r="I99" s="29">
        <v>379.09</v>
      </c>
      <c r="J99" s="5">
        <f t="shared" si="16"/>
        <v>7980.88</v>
      </c>
      <c r="K99" s="5">
        <f t="shared" si="17"/>
        <v>149.64150000000001</v>
      </c>
      <c r="L99" s="26">
        <f t="shared" ca="1" si="18"/>
        <v>46007.395068518519</v>
      </c>
      <c r="M99"/>
    </row>
    <row r="100" spans="1:13" ht="15.75" customHeight="1" x14ac:dyDescent="0.3">
      <c r="A100" s="29" t="s">
        <v>18</v>
      </c>
      <c r="B100" s="29" t="s">
        <v>33</v>
      </c>
      <c r="C100" s="29" t="s">
        <v>36</v>
      </c>
      <c r="D100" s="29" t="s">
        <v>17</v>
      </c>
      <c r="E100" s="29">
        <v>1022.23</v>
      </c>
      <c r="F100" s="29">
        <v>8</v>
      </c>
      <c r="G100" s="29">
        <f t="shared" si="15"/>
        <v>0.5</v>
      </c>
      <c r="H100" s="30">
        <v>45717</v>
      </c>
      <c r="I100" s="29">
        <v>460</v>
      </c>
      <c r="J100" s="5">
        <f t="shared" si="16"/>
        <v>8177.84</v>
      </c>
      <c r="K100" s="5">
        <f t="shared" si="17"/>
        <v>153.33449999999999</v>
      </c>
      <c r="L100" s="26">
        <f t="shared" ca="1" si="18"/>
        <v>46007.395068518519</v>
      </c>
      <c r="M100"/>
    </row>
    <row r="101" spans="1:13" ht="15.75" customHeight="1" x14ac:dyDescent="0.3">
      <c r="A101" s="29" t="s">
        <v>43</v>
      </c>
      <c r="B101" s="29" t="s">
        <v>63</v>
      </c>
      <c r="C101" s="29" t="s">
        <v>13</v>
      </c>
      <c r="D101" s="29" t="s">
        <v>29</v>
      </c>
      <c r="E101" s="29">
        <v>1172.97</v>
      </c>
      <c r="F101" s="29">
        <v>7</v>
      </c>
      <c r="G101" s="29">
        <f t="shared" si="15"/>
        <v>0.5</v>
      </c>
      <c r="H101" s="30">
        <v>45559</v>
      </c>
      <c r="I101" s="29">
        <v>348.96</v>
      </c>
      <c r="J101" s="5">
        <f t="shared" si="16"/>
        <v>8210.7900000000009</v>
      </c>
      <c r="K101" s="5">
        <f t="shared" si="17"/>
        <v>175.94550000000001</v>
      </c>
      <c r="L101" s="26">
        <f t="shared" ca="1" si="18"/>
        <v>46007.395068518519</v>
      </c>
      <c r="M101"/>
    </row>
    <row r="102" spans="1:13" ht="15.75" customHeight="1" x14ac:dyDescent="0.3">
      <c r="A102" s="29" t="s">
        <v>18</v>
      </c>
      <c r="B102" s="29" t="s">
        <v>66</v>
      </c>
      <c r="C102" s="29" t="s">
        <v>13</v>
      </c>
      <c r="D102" s="29" t="s">
        <v>41</v>
      </c>
      <c r="E102" s="29">
        <v>826.93</v>
      </c>
      <c r="F102" s="29">
        <v>10</v>
      </c>
      <c r="G102" s="29">
        <f t="shared" si="15"/>
        <v>0.5</v>
      </c>
      <c r="H102" s="30">
        <v>45564</v>
      </c>
      <c r="I102" s="29">
        <v>297.69</v>
      </c>
      <c r="J102" s="5">
        <f t="shared" si="16"/>
        <v>8269.2999999999993</v>
      </c>
      <c r="K102" s="5">
        <f t="shared" si="17"/>
        <v>124.03949999999999</v>
      </c>
      <c r="L102" s="26">
        <f t="shared" ca="1" si="18"/>
        <v>46007.395068518519</v>
      </c>
      <c r="M102"/>
    </row>
    <row r="103" spans="1:13" ht="15.75" customHeight="1" x14ac:dyDescent="0.3">
      <c r="A103" s="29" t="s">
        <v>60</v>
      </c>
      <c r="B103" s="29" t="s">
        <v>25</v>
      </c>
      <c r="C103" s="29" t="s">
        <v>26</v>
      </c>
      <c r="D103" s="29" t="s">
        <v>23</v>
      </c>
      <c r="E103" s="29">
        <v>1681.21</v>
      </c>
      <c r="F103" s="29">
        <v>5</v>
      </c>
      <c r="G103" s="29">
        <f t="shared" si="15"/>
        <v>0.5</v>
      </c>
      <c r="H103" s="30">
        <v>45670</v>
      </c>
      <c r="I103" s="29">
        <v>336.24</v>
      </c>
      <c r="J103" s="5">
        <f t="shared" si="16"/>
        <v>8406.0499999999993</v>
      </c>
      <c r="K103" s="5">
        <f t="shared" si="17"/>
        <v>252.1815</v>
      </c>
      <c r="L103" s="26">
        <f t="shared" ca="1" si="18"/>
        <v>46007.395068518519</v>
      </c>
      <c r="M103"/>
    </row>
    <row r="104" spans="1:13" ht="15.75" customHeight="1" x14ac:dyDescent="0.3">
      <c r="A104" s="29" t="s">
        <v>60</v>
      </c>
      <c r="B104" s="29" t="s">
        <v>25</v>
      </c>
      <c r="C104" s="29" t="s">
        <v>22</v>
      </c>
      <c r="D104" s="29" t="s">
        <v>17</v>
      </c>
      <c r="E104" s="29">
        <v>1226.6199999999999</v>
      </c>
      <c r="F104" s="29">
        <v>7</v>
      </c>
      <c r="G104" s="29">
        <f t="shared" si="15"/>
        <v>0.5</v>
      </c>
      <c r="H104" s="30">
        <v>45463</v>
      </c>
      <c r="I104" s="29">
        <v>551.98</v>
      </c>
      <c r="J104" s="5">
        <f t="shared" si="16"/>
        <v>8586.34</v>
      </c>
      <c r="K104" s="5">
        <f t="shared" si="17"/>
        <v>183.99299999999997</v>
      </c>
      <c r="L104" s="26">
        <f t="shared" ca="1" si="18"/>
        <v>46007.395068518519</v>
      </c>
      <c r="M104"/>
    </row>
    <row r="105" spans="1:13" ht="15.75" customHeight="1" x14ac:dyDescent="0.3">
      <c r="A105" s="29" t="s">
        <v>46</v>
      </c>
      <c r="B105" s="29" t="s">
        <v>33</v>
      </c>
      <c r="C105" s="29" t="s">
        <v>36</v>
      </c>
      <c r="D105" s="29" t="s">
        <v>41</v>
      </c>
      <c r="E105" s="29">
        <v>1250.71</v>
      </c>
      <c r="F105" s="29">
        <v>7</v>
      </c>
      <c r="G105" s="29">
        <f t="shared" si="15"/>
        <v>0.5</v>
      </c>
      <c r="H105" s="30">
        <v>45674</v>
      </c>
      <c r="I105" s="29">
        <v>562.82000000000005</v>
      </c>
      <c r="J105" s="5">
        <f t="shared" si="16"/>
        <v>8754.9700000000012</v>
      </c>
      <c r="K105" s="5">
        <f t="shared" si="17"/>
        <v>187.60650000000001</v>
      </c>
      <c r="L105" s="26">
        <f t="shared" ca="1" si="18"/>
        <v>46007.395068518519</v>
      </c>
      <c r="M105"/>
    </row>
    <row r="106" spans="1:13" ht="15.75" customHeight="1" x14ac:dyDescent="0.3">
      <c r="A106" s="29" t="s">
        <v>46</v>
      </c>
      <c r="B106" s="29" t="s">
        <v>16</v>
      </c>
      <c r="C106" s="29" t="s">
        <v>22</v>
      </c>
      <c r="D106" s="29" t="s">
        <v>14</v>
      </c>
      <c r="E106" s="29">
        <v>877.58</v>
      </c>
      <c r="F106" s="29">
        <v>10</v>
      </c>
      <c r="G106" s="29">
        <f t="shared" si="15"/>
        <v>0.5</v>
      </c>
      <c r="H106" s="30">
        <v>45411</v>
      </c>
      <c r="I106" s="29">
        <v>298.38</v>
      </c>
      <c r="J106" s="5">
        <f t="shared" si="16"/>
        <v>8775.8000000000011</v>
      </c>
      <c r="K106" s="5">
        <f t="shared" si="17"/>
        <v>131.637</v>
      </c>
      <c r="L106" s="26">
        <f t="shared" ca="1" si="18"/>
        <v>46007.395068518519</v>
      </c>
      <c r="M106"/>
    </row>
    <row r="107" spans="1:13" ht="15.75" customHeight="1" x14ac:dyDescent="0.3">
      <c r="A107" s="29" t="s">
        <v>11</v>
      </c>
      <c r="B107" s="29" t="s">
        <v>35</v>
      </c>
      <c r="C107" s="29" t="s">
        <v>36</v>
      </c>
      <c r="D107" s="29" t="s">
        <v>17</v>
      </c>
      <c r="E107" s="29">
        <v>1301.8900000000001</v>
      </c>
      <c r="F107" s="29">
        <v>7</v>
      </c>
      <c r="G107" s="29">
        <f t="shared" si="15"/>
        <v>0.5</v>
      </c>
      <c r="H107" s="30">
        <v>45581</v>
      </c>
      <c r="I107" s="29">
        <v>553.29999999999995</v>
      </c>
      <c r="J107" s="5">
        <f t="shared" si="16"/>
        <v>9113.2300000000014</v>
      </c>
      <c r="K107" s="5">
        <f t="shared" si="17"/>
        <v>195.2835</v>
      </c>
      <c r="L107" s="26">
        <f t="shared" ca="1" si="18"/>
        <v>46007.395068518519</v>
      </c>
      <c r="M107"/>
    </row>
    <row r="108" spans="1:13" ht="15.75" customHeight="1" x14ac:dyDescent="0.3">
      <c r="A108" s="29" t="s">
        <v>21</v>
      </c>
      <c r="B108" s="29" t="s">
        <v>16</v>
      </c>
      <c r="C108" s="29" t="s">
        <v>22</v>
      </c>
      <c r="D108" s="29" t="s">
        <v>29</v>
      </c>
      <c r="E108" s="29">
        <v>919.04</v>
      </c>
      <c r="F108" s="29">
        <v>10</v>
      </c>
      <c r="G108" s="29">
        <f t="shared" si="15"/>
        <v>0.5</v>
      </c>
      <c r="H108" s="30">
        <v>45468</v>
      </c>
      <c r="I108" s="29">
        <v>257.33</v>
      </c>
      <c r="J108" s="5">
        <f t="shared" si="16"/>
        <v>9190.4</v>
      </c>
      <c r="K108" s="5">
        <f t="shared" si="17"/>
        <v>137.85599999999999</v>
      </c>
      <c r="L108" s="26">
        <f t="shared" ca="1" si="18"/>
        <v>46007.395068518519</v>
      </c>
      <c r="M108"/>
    </row>
    <row r="109" spans="1:13" ht="15.75" customHeight="1" x14ac:dyDescent="0.3">
      <c r="A109" s="29" t="s">
        <v>59</v>
      </c>
      <c r="B109" s="29" t="s">
        <v>40</v>
      </c>
      <c r="C109" s="29" t="s">
        <v>36</v>
      </c>
      <c r="D109" s="29" t="s">
        <v>14</v>
      </c>
      <c r="E109" s="29">
        <v>1150.28</v>
      </c>
      <c r="F109" s="29">
        <v>8</v>
      </c>
      <c r="G109" s="29">
        <f t="shared" si="15"/>
        <v>0.5</v>
      </c>
      <c r="H109" s="30">
        <v>45622</v>
      </c>
      <c r="I109" s="29">
        <v>437.11</v>
      </c>
      <c r="J109" s="5">
        <f t="shared" si="16"/>
        <v>9202.24</v>
      </c>
      <c r="K109" s="5">
        <f t="shared" si="17"/>
        <v>172.542</v>
      </c>
      <c r="L109" s="26">
        <f t="shared" ca="1" si="18"/>
        <v>46007.395068518519</v>
      </c>
      <c r="M109"/>
    </row>
    <row r="110" spans="1:13" ht="15.75" customHeight="1" x14ac:dyDescent="0.3">
      <c r="A110" s="29" t="s">
        <v>60</v>
      </c>
      <c r="B110" s="29" t="s">
        <v>45</v>
      </c>
      <c r="C110" s="29" t="s">
        <v>13</v>
      </c>
      <c r="D110" s="29" t="s">
        <v>41</v>
      </c>
      <c r="E110" s="29">
        <v>545.44000000000005</v>
      </c>
      <c r="F110" s="29">
        <v>17</v>
      </c>
      <c r="G110" s="29">
        <f t="shared" si="15"/>
        <v>0.5</v>
      </c>
      <c r="H110" s="30">
        <v>45752</v>
      </c>
      <c r="I110" s="29">
        <v>245.45</v>
      </c>
      <c r="J110" s="5">
        <f t="shared" si="16"/>
        <v>9272.4800000000014</v>
      </c>
      <c r="K110" s="5">
        <f t="shared" si="17"/>
        <v>81.816000000000003</v>
      </c>
      <c r="L110" s="26">
        <f t="shared" ca="1" si="18"/>
        <v>46007.395068518519</v>
      </c>
      <c r="M110"/>
    </row>
    <row r="111" spans="1:13" ht="15.75" customHeight="1" x14ac:dyDescent="0.3">
      <c r="A111" s="29" t="s">
        <v>39</v>
      </c>
      <c r="B111" s="29" t="s">
        <v>40</v>
      </c>
      <c r="C111" s="29" t="s">
        <v>13</v>
      </c>
      <c r="D111" s="29" t="s">
        <v>41</v>
      </c>
      <c r="E111" s="29">
        <v>1572.82</v>
      </c>
      <c r="F111" s="29">
        <v>6</v>
      </c>
      <c r="G111" s="29">
        <f t="shared" si="15"/>
        <v>0.5</v>
      </c>
      <c r="H111" s="30">
        <v>45402</v>
      </c>
      <c r="I111" s="29">
        <v>672.38</v>
      </c>
      <c r="J111" s="5">
        <f t="shared" si="16"/>
        <v>9436.92</v>
      </c>
      <c r="K111" s="5">
        <f t="shared" si="17"/>
        <v>235.92299999999997</v>
      </c>
      <c r="L111" s="26">
        <f t="shared" ca="1" si="18"/>
        <v>46007.395068518519</v>
      </c>
      <c r="M111"/>
    </row>
    <row r="112" spans="1:13" ht="15.75" customHeight="1" x14ac:dyDescent="0.3">
      <c r="A112" s="29" t="s">
        <v>74</v>
      </c>
      <c r="B112" s="29" t="s">
        <v>33</v>
      </c>
      <c r="C112" s="29" t="s">
        <v>26</v>
      </c>
      <c r="D112" s="29" t="s">
        <v>17</v>
      </c>
      <c r="E112" s="29">
        <v>1589.42</v>
      </c>
      <c r="F112" s="29">
        <v>6</v>
      </c>
      <c r="G112" s="29">
        <f t="shared" si="15"/>
        <v>0.5</v>
      </c>
      <c r="H112" s="30">
        <v>45651</v>
      </c>
      <c r="I112" s="29">
        <v>675.5</v>
      </c>
      <c r="J112" s="5">
        <f t="shared" si="16"/>
        <v>9536.52</v>
      </c>
      <c r="K112" s="5">
        <f t="shared" si="17"/>
        <v>238.41300000000001</v>
      </c>
      <c r="L112" s="26">
        <f t="shared" ca="1" si="18"/>
        <v>46007.395068518519</v>
      </c>
      <c r="M112"/>
    </row>
    <row r="113" spans="1:13" ht="15.75" customHeight="1" x14ac:dyDescent="0.3">
      <c r="A113" s="29" t="s">
        <v>59</v>
      </c>
      <c r="B113" s="29" t="s">
        <v>45</v>
      </c>
      <c r="C113" s="29" t="s">
        <v>22</v>
      </c>
      <c r="D113" s="29" t="s">
        <v>23</v>
      </c>
      <c r="E113" s="29">
        <v>967.89</v>
      </c>
      <c r="F113" s="29">
        <v>10</v>
      </c>
      <c r="G113" s="29">
        <f t="shared" si="15"/>
        <v>0.5</v>
      </c>
      <c r="H113" s="30">
        <v>45429</v>
      </c>
      <c r="I113" s="29">
        <v>217.78</v>
      </c>
      <c r="J113" s="5">
        <f t="shared" si="16"/>
        <v>9678.9</v>
      </c>
      <c r="K113" s="5">
        <f t="shared" si="17"/>
        <v>145.18349999999998</v>
      </c>
      <c r="L113" s="26">
        <f t="shared" ca="1" si="18"/>
        <v>46007.395068518519</v>
      </c>
      <c r="M113"/>
    </row>
    <row r="114" spans="1:13" ht="15.75" customHeight="1" x14ac:dyDescent="0.3">
      <c r="A114" s="29" t="s">
        <v>56</v>
      </c>
      <c r="B114" s="29" t="s">
        <v>58</v>
      </c>
      <c r="C114" s="29" t="s">
        <v>36</v>
      </c>
      <c r="D114" s="29" t="s">
        <v>41</v>
      </c>
      <c r="E114" s="29">
        <v>1225.42</v>
      </c>
      <c r="F114" s="29">
        <v>8</v>
      </c>
      <c r="G114" s="29">
        <f t="shared" si="15"/>
        <v>0.5</v>
      </c>
      <c r="H114" s="30">
        <v>45449</v>
      </c>
      <c r="I114" s="29">
        <v>468.72</v>
      </c>
      <c r="J114" s="5">
        <f t="shared" si="16"/>
        <v>9803.36</v>
      </c>
      <c r="K114" s="5">
        <f t="shared" si="17"/>
        <v>183.81300000000002</v>
      </c>
      <c r="L114" s="26">
        <f t="shared" ca="1" si="18"/>
        <v>46007.395068518519</v>
      </c>
      <c r="M114"/>
    </row>
    <row r="115" spans="1:13" ht="15.75" customHeight="1" x14ac:dyDescent="0.3">
      <c r="A115" s="29" t="s">
        <v>60</v>
      </c>
      <c r="B115" s="29" t="s">
        <v>47</v>
      </c>
      <c r="C115" s="29" t="s">
        <v>20</v>
      </c>
      <c r="D115" s="29" t="s">
        <v>14</v>
      </c>
      <c r="E115" s="29">
        <v>1098.08</v>
      </c>
      <c r="F115" s="29">
        <v>9</v>
      </c>
      <c r="G115" s="29">
        <f t="shared" si="15"/>
        <v>0.5</v>
      </c>
      <c r="H115" s="30">
        <v>45692</v>
      </c>
      <c r="I115" s="29">
        <v>395.31</v>
      </c>
      <c r="J115" s="5">
        <f t="shared" si="16"/>
        <v>9882.7199999999993</v>
      </c>
      <c r="K115" s="5">
        <f t="shared" si="17"/>
        <v>164.71199999999999</v>
      </c>
      <c r="L115" s="26">
        <f t="shared" ca="1" si="18"/>
        <v>46007.395068518519</v>
      </c>
      <c r="M115"/>
    </row>
    <row r="116" spans="1:13" ht="15.75" customHeight="1" x14ac:dyDescent="0.3">
      <c r="A116" s="29" t="s">
        <v>24</v>
      </c>
      <c r="B116" s="29" t="s">
        <v>45</v>
      </c>
      <c r="C116" s="29" t="s">
        <v>13</v>
      </c>
      <c r="D116" s="29" t="s">
        <v>17</v>
      </c>
      <c r="E116" s="29">
        <v>585.16</v>
      </c>
      <c r="F116" s="29">
        <v>17</v>
      </c>
      <c r="G116" s="29">
        <f t="shared" si="15"/>
        <v>0.5</v>
      </c>
      <c r="H116" s="30">
        <v>45684</v>
      </c>
      <c r="I116" s="29">
        <v>263.32</v>
      </c>
      <c r="J116" s="5">
        <f t="shared" si="16"/>
        <v>9947.7199999999993</v>
      </c>
      <c r="K116" s="5">
        <f t="shared" si="17"/>
        <v>87.773999999999987</v>
      </c>
      <c r="L116" s="26">
        <f t="shared" ca="1" si="18"/>
        <v>46007.395068518519</v>
      </c>
      <c r="M116"/>
    </row>
    <row r="117" spans="1:13" ht="15.75" customHeight="1" x14ac:dyDescent="0.3">
      <c r="A117" s="29" t="s">
        <v>76</v>
      </c>
      <c r="B117" s="29" t="s">
        <v>40</v>
      </c>
      <c r="C117" s="29" t="s">
        <v>26</v>
      </c>
      <c r="D117" s="29" t="s">
        <v>14</v>
      </c>
      <c r="E117" s="29">
        <v>585.97</v>
      </c>
      <c r="F117" s="29">
        <v>17</v>
      </c>
      <c r="G117" s="29">
        <f t="shared" si="15"/>
        <v>0.5</v>
      </c>
      <c r="H117" s="30">
        <v>45565</v>
      </c>
      <c r="I117" s="29">
        <v>210.95</v>
      </c>
      <c r="J117" s="5">
        <f t="shared" si="16"/>
        <v>9961.49</v>
      </c>
      <c r="K117" s="5">
        <f t="shared" si="17"/>
        <v>87.895499999999998</v>
      </c>
      <c r="L117" s="26">
        <f t="shared" ca="1" si="18"/>
        <v>46007.395068518519</v>
      </c>
      <c r="M117"/>
    </row>
    <row r="118" spans="1:13" ht="15.75" customHeight="1" x14ac:dyDescent="0.3">
      <c r="A118" s="29" t="s">
        <v>46</v>
      </c>
      <c r="B118" s="29" t="s">
        <v>61</v>
      </c>
      <c r="C118" s="29" t="s">
        <v>36</v>
      </c>
      <c r="D118" s="29" t="s">
        <v>29</v>
      </c>
      <c r="E118" s="29">
        <v>773.09</v>
      </c>
      <c r="F118" s="29">
        <v>13</v>
      </c>
      <c r="G118" s="29">
        <f t="shared" si="15"/>
        <v>0.5</v>
      </c>
      <c r="H118" s="30">
        <v>45434</v>
      </c>
      <c r="I118" s="29">
        <v>229.99</v>
      </c>
      <c r="J118" s="5">
        <f t="shared" si="16"/>
        <v>10050.17</v>
      </c>
      <c r="K118" s="5">
        <f t="shared" si="17"/>
        <v>115.9635</v>
      </c>
      <c r="L118" s="26">
        <f t="shared" ca="1" si="18"/>
        <v>46007.395068518519</v>
      </c>
      <c r="M118"/>
    </row>
    <row r="119" spans="1:13" ht="15.75" customHeight="1" x14ac:dyDescent="0.3">
      <c r="A119" s="29" t="s">
        <v>11</v>
      </c>
      <c r="B119" s="29" t="s">
        <v>19</v>
      </c>
      <c r="C119" s="29" t="s">
        <v>22</v>
      </c>
      <c r="D119" s="29" t="s">
        <v>23</v>
      </c>
      <c r="E119" s="29">
        <v>718.04</v>
      </c>
      <c r="F119" s="29">
        <v>14</v>
      </c>
      <c r="G119" s="29">
        <f t="shared" si="15"/>
        <v>0.5</v>
      </c>
      <c r="H119" s="30">
        <v>45613</v>
      </c>
      <c r="I119" s="29">
        <v>179.51</v>
      </c>
      <c r="J119" s="5">
        <f t="shared" si="16"/>
        <v>10052.56</v>
      </c>
      <c r="K119" s="5">
        <f t="shared" si="17"/>
        <v>107.70599999999999</v>
      </c>
      <c r="L119" s="26">
        <f t="shared" ca="1" si="18"/>
        <v>46007.395068518519</v>
      </c>
      <c r="M119"/>
    </row>
    <row r="120" spans="1:13" ht="15.75" customHeight="1" x14ac:dyDescent="0.3">
      <c r="A120" s="29" t="s">
        <v>56</v>
      </c>
      <c r="B120" s="29" t="s">
        <v>47</v>
      </c>
      <c r="C120" s="29" t="s">
        <v>20</v>
      </c>
      <c r="D120" s="29" t="s">
        <v>41</v>
      </c>
      <c r="E120" s="29">
        <v>1014.56</v>
      </c>
      <c r="F120" s="29">
        <v>10</v>
      </c>
      <c r="G120" s="29">
        <f t="shared" si="15"/>
        <v>0.5</v>
      </c>
      <c r="H120" s="30">
        <v>45612</v>
      </c>
      <c r="I120" s="29">
        <v>410.9</v>
      </c>
      <c r="J120" s="5">
        <f t="shared" si="16"/>
        <v>10145.599999999999</v>
      </c>
      <c r="K120" s="5">
        <f t="shared" si="17"/>
        <v>152.184</v>
      </c>
      <c r="L120" s="26">
        <f t="shared" ca="1" si="18"/>
        <v>46007.395068518519</v>
      </c>
      <c r="M120"/>
    </row>
    <row r="121" spans="1:13" ht="15.75" customHeight="1" x14ac:dyDescent="0.3">
      <c r="A121" s="29" t="s">
        <v>24</v>
      </c>
      <c r="B121" s="29" t="s">
        <v>25</v>
      </c>
      <c r="C121" s="29" t="s">
        <v>26</v>
      </c>
      <c r="D121" s="29" t="s">
        <v>14</v>
      </c>
      <c r="E121" s="29">
        <v>847</v>
      </c>
      <c r="F121" s="29">
        <v>12</v>
      </c>
      <c r="G121" s="29">
        <f t="shared" si="15"/>
        <v>0.5</v>
      </c>
      <c r="H121" s="30">
        <v>45397</v>
      </c>
      <c r="I121" s="29">
        <v>271.04000000000002</v>
      </c>
      <c r="J121" s="5">
        <f t="shared" si="16"/>
        <v>10164</v>
      </c>
      <c r="K121" s="5">
        <f t="shared" si="17"/>
        <v>127.05</v>
      </c>
      <c r="L121" s="26">
        <f t="shared" ca="1" si="18"/>
        <v>46007.395068518519</v>
      </c>
      <c r="M121"/>
    </row>
    <row r="122" spans="1:13" ht="15.75" customHeight="1" x14ac:dyDescent="0.3">
      <c r="A122" s="29" t="s">
        <v>56</v>
      </c>
      <c r="B122" s="29" t="s">
        <v>68</v>
      </c>
      <c r="C122" s="29" t="s">
        <v>36</v>
      </c>
      <c r="D122" s="29" t="s">
        <v>17</v>
      </c>
      <c r="E122" s="29">
        <v>728.71</v>
      </c>
      <c r="F122" s="29">
        <v>14</v>
      </c>
      <c r="G122" s="29">
        <f t="shared" si="15"/>
        <v>0.5</v>
      </c>
      <c r="H122" s="30">
        <v>45581</v>
      </c>
      <c r="I122" s="29">
        <v>327.92</v>
      </c>
      <c r="J122" s="5">
        <f t="shared" si="16"/>
        <v>10201.94</v>
      </c>
      <c r="K122" s="5">
        <f t="shared" si="17"/>
        <v>109.3065</v>
      </c>
      <c r="L122" s="26">
        <f t="shared" ca="1" si="18"/>
        <v>46007.395068518519</v>
      </c>
      <c r="M122"/>
    </row>
    <row r="123" spans="1:13" ht="15.75" customHeight="1" x14ac:dyDescent="0.3">
      <c r="A123" s="29" t="s">
        <v>56</v>
      </c>
      <c r="B123" s="29" t="s">
        <v>49</v>
      </c>
      <c r="C123" s="29" t="s">
        <v>20</v>
      </c>
      <c r="D123" s="29" t="s">
        <v>29</v>
      </c>
      <c r="E123" s="29">
        <v>1286.54</v>
      </c>
      <c r="F123" s="29">
        <v>8</v>
      </c>
      <c r="G123" s="29">
        <f t="shared" si="15"/>
        <v>0.5</v>
      </c>
      <c r="H123" s="30">
        <v>45575</v>
      </c>
      <c r="I123" s="29">
        <v>450.29</v>
      </c>
      <c r="J123" s="5">
        <f t="shared" si="16"/>
        <v>10292.32</v>
      </c>
      <c r="K123" s="5">
        <f t="shared" si="17"/>
        <v>192.98099999999999</v>
      </c>
      <c r="L123" s="26">
        <f t="shared" ca="1" si="18"/>
        <v>46007.395068518519</v>
      </c>
      <c r="M123"/>
    </row>
    <row r="124" spans="1:13" ht="15.75" customHeight="1" x14ac:dyDescent="0.3">
      <c r="A124" s="29" t="s">
        <v>15</v>
      </c>
      <c r="B124" s="29" t="s">
        <v>57</v>
      </c>
      <c r="C124" s="29" t="s">
        <v>13</v>
      </c>
      <c r="D124" s="29" t="s">
        <v>23</v>
      </c>
      <c r="E124" s="29">
        <v>688.83</v>
      </c>
      <c r="F124" s="29">
        <v>15</v>
      </c>
      <c r="G124" s="29">
        <f t="shared" si="15"/>
        <v>0.5</v>
      </c>
      <c r="H124" s="30">
        <v>45595</v>
      </c>
      <c r="I124" s="29">
        <v>172.21</v>
      </c>
      <c r="J124" s="5">
        <f t="shared" si="16"/>
        <v>10332.450000000001</v>
      </c>
      <c r="K124" s="5">
        <f t="shared" si="17"/>
        <v>103.3245</v>
      </c>
      <c r="L124" s="26">
        <f t="shared" ca="1" si="18"/>
        <v>46007.395068518519</v>
      </c>
      <c r="M124"/>
    </row>
    <row r="125" spans="1:13" ht="15.75" customHeight="1" x14ac:dyDescent="0.3">
      <c r="A125" s="29" t="s">
        <v>27</v>
      </c>
      <c r="B125" s="29" t="s">
        <v>50</v>
      </c>
      <c r="C125" s="29" t="s">
        <v>22</v>
      </c>
      <c r="D125" s="29" t="s">
        <v>17</v>
      </c>
      <c r="E125" s="29">
        <v>953.3</v>
      </c>
      <c r="F125" s="29">
        <v>11</v>
      </c>
      <c r="G125" s="29">
        <f t="shared" si="15"/>
        <v>0.5</v>
      </c>
      <c r="H125" s="30">
        <v>45415</v>
      </c>
      <c r="I125" s="29">
        <v>476.65</v>
      </c>
      <c r="J125" s="5">
        <f t="shared" si="16"/>
        <v>10486.3</v>
      </c>
      <c r="K125" s="5">
        <f t="shared" si="17"/>
        <v>142.99499999999998</v>
      </c>
      <c r="L125" s="26">
        <f t="shared" ca="1" si="18"/>
        <v>46007.395068518519</v>
      </c>
      <c r="M125"/>
    </row>
    <row r="126" spans="1:13" ht="15.75" customHeight="1" x14ac:dyDescent="0.3">
      <c r="A126" s="29" t="s">
        <v>67</v>
      </c>
      <c r="B126" s="29" t="s">
        <v>33</v>
      </c>
      <c r="C126" s="29" t="s">
        <v>22</v>
      </c>
      <c r="D126" s="29" t="s">
        <v>14</v>
      </c>
      <c r="E126" s="29">
        <v>876.44</v>
      </c>
      <c r="F126" s="29">
        <v>12</v>
      </c>
      <c r="G126" s="29">
        <f t="shared" si="15"/>
        <v>0.5</v>
      </c>
      <c r="H126" s="30">
        <v>45488</v>
      </c>
      <c r="I126" s="29">
        <v>333.05</v>
      </c>
      <c r="J126" s="5">
        <f t="shared" si="16"/>
        <v>10517.28</v>
      </c>
      <c r="K126" s="5">
        <f t="shared" si="17"/>
        <v>131.46600000000001</v>
      </c>
      <c r="L126" s="26">
        <f t="shared" ca="1" si="18"/>
        <v>46007.395068518519</v>
      </c>
      <c r="M126"/>
    </row>
    <row r="127" spans="1:13" ht="15.75" customHeight="1" x14ac:dyDescent="0.3">
      <c r="A127" s="29" t="s">
        <v>69</v>
      </c>
      <c r="B127" s="29" t="s">
        <v>45</v>
      </c>
      <c r="C127" s="29" t="s">
        <v>22</v>
      </c>
      <c r="D127" s="29" t="s">
        <v>14</v>
      </c>
      <c r="E127" s="29">
        <v>704.28</v>
      </c>
      <c r="F127" s="29">
        <v>15</v>
      </c>
      <c r="G127" s="29">
        <f t="shared" si="15"/>
        <v>0.5</v>
      </c>
      <c r="H127" s="30">
        <v>45712</v>
      </c>
      <c r="I127" s="29">
        <v>225.37</v>
      </c>
      <c r="J127" s="5">
        <f t="shared" si="16"/>
        <v>10564.199999999999</v>
      </c>
      <c r="K127" s="5">
        <f t="shared" si="17"/>
        <v>105.642</v>
      </c>
      <c r="L127" s="26">
        <f t="shared" ca="1" si="18"/>
        <v>46007.395068518519</v>
      </c>
      <c r="M127"/>
    </row>
    <row r="128" spans="1:13" ht="15.75" customHeight="1" x14ac:dyDescent="0.3">
      <c r="A128" s="29" t="s">
        <v>24</v>
      </c>
      <c r="B128" s="29" t="s">
        <v>68</v>
      </c>
      <c r="C128" s="29" t="s">
        <v>36</v>
      </c>
      <c r="D128" s="29" t="s">
        <v>14</v>
      </c>
      <c r="E128" s="29">
        <v>973.26</v>
      </c>
      <c r="F128" s="29">
        <v>11</v>
      </c>
      <c r="G128" s="29">
        <f t="shared" si="15"/>
        <v>0.5</v>
      </c>
      <c r="H128" s="30">
        <v>45470</v>
      </c>
      <c r="I128" s="29">
        <v>389.3</v>
      </c>
      <c r="J128" s="5">
        <f t="shared" si="16"/>
        <v>10705.86</v>
      </c>
      <c r="K128" s="5">
        <f t="shared" si="17"/>
        <v>145.989</v>
      </c>
      <c r="L128" s="26">
        <f t="shared" ca="1" si="18"/>
        <v>46007.395068518519</v>
      </c>
      <c r="M128"/>
    </row>
    <row r="129" spans="1:13" ht="15.75" customHeight="1" x14ac:dyDescent="0.3">
      <c r="A129" s="29" t="s">
        <v>69</v>
      </c>
      <c r="B129" s="29" t="s">
        <v>25</v>
      </c>
      <c r="C129" s="29" t="s">
        <v>36</v>
      </c>
      <c r="D129" s="29" t="s">
        <v>17</v>
      </c>
      <c r="E129" s="29">
        <v>902.19</v>
      </c>
      <c r="F129" s="29">
        <v>12</v>
      </c>
      <c r="G129" s="29">
        <f t="shared" si="15"/>
        <v>0.5</v>
      </c>
      <c r="H129" s="30">
        <v>45564</v>
      </c>
      <c r="I129" s="29">
        <v>451.1</v>
      </c>
      <c r="J129" s="5">
        <f t="shared" si="16"/>
        <v>10826.28</v>
      </c>
      <c r="K129" s="5">
        <f t="shared" si="17"/>
        <v>135.32849999999999</v>
      </c>
      <c r="L129" s="26">
        <f t="shared" ca="1" si="18"/>
        <v>46007.395068518519</v>
      </c>
      <c r="M129"/>
    </row>
    <row r="130" spans="1:13" ht="15.75" customHeight="1" x14ac:dyDescent="0.3">
      <c r="A130" s="29" t="s">
        <v>74</v>
      </c>
      <c r="B130" s="29" t="s">
        <v>33</v>
      </c>
      <c r="C130" s="29" t="s">
        <v>22</v>
      </c>
      <c r="D130" s="29" t="s">
        <v>41</v>
      </c>
      <c r="E130" s="29">
        <v>573.32000000000005</v>
      </c>
      <c r="F130" s="29">
        <v>19</v>
      </c>
      <c r="G130" s="29">
        <f t="shared" ref="G130:G161" si="19">$R$2</f>
        <v>0.5</v>
      </c>
      <c r="H130" s="30">
        <v>45703</v>
      </c>
      <c r="I130" s="29">
        <v>232.19</v>
      </c>
      <c r="J130" s="5">
        <f t="shared" ref="J130:J161" si="20">E130*F130</f>
        <v>10893.080000000002</v>
      </c>
      <c r="K130" s="5">
        <f t="shared" ref="K130:K161" si="21" xml:space="preserve"> (E130 - (E130 *$R$2)) * 0.3</f>
        <v>85.998000000000005</v>
      </c>
      <c r="L130" s="26">
        <f t="shared" ref="L130:L161" ca="1" si="22">NOW()</f>
        <v>46007.395068518519</v>
      </c>
      <c r="M130"/>
    </row>
    <row r="131" spans="1:13" ht="15.75" customHeight="1" x14ac:dyDescent="0.3">
      <c r="A131" s="29" t="s">
        <v>62</v>
      </c>
      <c r="B131" s="29" t="s">
        <v>63</v>
      </c>
      <c r="C131" s="29" t="s">
        <v>20</v>
      </c>
      <c r="D131" s="29" t="s">
        <v>14</v>
      </c>
      <c r="E131" s="29">
        <v>580.42999999999995</v>
      </c>
      <c r="F131" s="29">
        <v>19</v>
      </c>
      <c r="G131" s="29">
        <f t="shared" si="19"/>
        <v>0.5</v>
      </c>
      <c r="H131" s="30">
        <v>45435</v>
      </c>
      <c r="I131" s="29">
        <v>197.35</v>
      </c>
      <c r="J131" s="5">
        <f t="shared" si="20"/>
        <v>11028.169999999998</v>
      </c>
      <c r="K131" s="5">
        <f t="shared" si="21"/>
        <v>87.064499999999995</v>
      </c>
      <c r="L131" s="26">
        <f t="shared" ca="1" si="22"/>
        <v>46007.395068518519</v>
      </c>
      <c r="M131"/>
    </row>
    <row r="132" spans="1:13" ht="15.75" customHeight="1" x14ac:dyDescent="0.3">
      <c r="A132" s="29" t="s">
        <v>59</v>
      </c>
      <c r="B132" s="29" t="s">
        <v>33</v>
      </c>
      <c r="C132" s="29" t="s">
        <v>20</v>
      </c>
      <c r="D132" s="29" t="s">
        <v>14</v>
      </c>
      <c r="E132" s="29">
        <v>1383.3</v>
      </c>
      <c r="F132" s="29">
        <v>8</v>
      </c>
      <c r="G132" s="29">
        <f t="shared" si="19"/>
        <v>0.5</v>
      </c>
      <c r="H132" s="30">
        <v>45478</v>
      </c>
      <c r="I132" s="29">
        <v>497.99</v>
      </c>
      <c r="J132" s="5">
        <f t="shared" si="20"/>
        <v>11066.4</v>
      </c>
      <c r="K132" s="5">
        <f t="shared" si="21"/>
        <v>207.49499999999998</v>
      </c>
      <c r="L132" s="26">
        <f t="shared" ca="1" si="22"/>
        <v>46007.395068518519</v>
      </c>
      <c r="M132"/>
    </row>
    <row r="133" spans="1:13" ht="15.75" customHeight="1" x14ac:dyDescent="0.3">
      <c r="A133" s="29" t="s">
        <v>32</v>
      </c>
      <c r="B133" s="29" t="s">
        <v>68</v>
      </c>
      <c r="C133" s="29" t="s">
        <v>20</v>
      </c>
      <c r="D133" s="29" t="s">
        <v>14</v>
      </c>
      <c r="E133" s="29">
        <v>1231.26</v>
      </c>
      <c r="F133" s="29">
        <v>9</v>
      </c>
      <c r="G133" s="29">
        <f t="shared" si="19"/>
        <v>0.5</v>
      </c>
      <c r="H133" s="30">
        <v>45646</v>
      </c>
      <c r="I133" s="29">
        <v>492.5</v>
      </c>
      <c r="J133" s="5">
        <f t="shared" si="20"/>
        <v>11081.34</v>
      </c>
      <c r="K133" s="5">
        <f t="shared" si="21"/>
        <v>184.68899999999999</v>
      </c>
      <c r="L133" s="26">
        <f t="shared" ca="1" si="22"/>
        <v>46007.395068518519</v>
      </c>
      <c r="M133"/>
    </row>
    <row r="134" spans="1:13" ht="15.75" customHeight="1" x14ac:dyDescent="0.3">
      <c r="A134" s="29" t="s">
        <v>59</v>
      </c>
      <c r="B134" s="29" t="s">
        <v>49</v>
      </c>
      <c r="C134" s="29" t="s">
        <v>26</v>
      </c>
      <c r="D134" s="29" t="s">
        <v>23</v>
      </c>
      <c r="E134" s="29">
        <v>1020.26</v>
      </c>
      <c r="F134" s="29">
        <v>11</v>
      </c>
      <c r="G134" s="29">
        <f t="shared" si="19"/>
        <v>0.5</v>
      </c>
      <c r="H134" s="30">
        <v>45494</v>
      </c>
      <c r="I134" s="29">
        <v>242.31</v>
      </c>
      <c r="J134" s="5">
        <f t="shared" si="20"/>
        <v>11222.86</v>
      </c>
      <c r="K134" s="5">
        <f t="shared" si="21"/>
        <v>153.03899999999999</v>
      </c>
      <c r="L134" s="26">
        <f t="shared" ca="1" si="22"/>
        <v>46007.395068518519</v>
      </c>
      <c r="M134"/>
    </row>
    <row r="135" spans="1:13" ht="15.75" customHeight="1" x14ac:dyDescent="0.3">
      <c r="A135" s="29" t="s">
        <v>76</v>
      </c>
      <c r="B135" s="29" t="s">
        <v>40</v>
      </c>
      <c r="C135" s="29" t="s">
        <v>20</v>
      </c>
      <c r="D135" s="29" t="s">
        <v>41</v>
      </c>
      <c r="E135" s="29">
        <v>875.41</v>
      </c>
      <c r="F135" s="29">
        <v>13</v>
      </c>
      <c r="G135" s="29">
        <f t="shared" si="19"/>
        <v>0.5</v>
      </c>
      <c r="H135" s="30">
        <v>45552</v>
      </c>
      <c r="I135" s="29">
        <v>334.84</v>
      </c>
      <c r="J135" s="5">
        <f t="shared" si="20"/>
        <v>11380.33</v>
      </c>
      <c r="K135" s="5">
        <f t="shared" si="21"/>
        <v>131.3115</v>
      </c>
      <c r="L135" s="26">
        <f t="shared" ca="1" si="22"/>
        <v>46007.395068518519</v>
      </c>
      <c r="M135"/>
    </row>
    <row r="136" spans="1:13" ht="15.75" customHeight="1" x14ac:dyDescent="0.3">
      <c r="A136" s="29" t="s">
        <v>24</v>
      </c>
      <c r="B136" s="29" t="s">
        <v>53</v>
      </c>
      <c r="C136" s="29" t="s">
        <v>26</v>
      </c>
      <c r="D136" s="29" t="s">
        <v>29</v>
      </c>
      <c r="E136" s="29">
        <v>675.54</v>
      </c>
      <c r="F136" s="29">
        <v>17</v>
      </c>
      <c r="G136" s="29">
        <f t="shared" si="19"/>
        <v>0.5</v>
      </c>
      <c r="H136" s="30">
        <v>45420</v>
      </c>
      <c r="I136" s="29">
        <v>236.44</v>
      </c>
      <c r="J136" s="5">
        <f t="shared" si="20"/>
        <v>11484.18</v>
      </c>
      <c r="K136" s="5">
        <f t="shared" si="21"/>
        <v>101.33099999999999</v>
      </c>
      <c r="L136" s="26">
        <f t="shared" ca="1" si="22"/>
        <v>46007.395068518519</v>
      </c>
      <c r="M136"/>
    </row>
    <row r="137" spans="1:13" ht="15.75" customHeight="1" x14ac:dyDescent="0.3">
      <c r="A137" s="29" t="s">
        <v>60</v>
      </c>
      <c r="B137" s="29" t="s">
        <v>16</v>
      </c>
      <c r="C137" s="29" t="s">
        <v>22</v>
      </c>
      <c r="D137" s="29" t="s">
        <v>29</v>
      </c>
      <c r="E137" s="29">
        <v>1054.56</v>
      </c>
      <c r="F137" s="29">
        <v>11</v>
      </c>
      <c r="G137" s="29">
        <f t="shared" si="19"/>
        <v>0.5</v>
      </c>
      <c r="H137" s="30">
        <v>45669</v>
      </c>
      <c r="I137" s="29">
        <v>332.19</v>
      </c>
      <c r="J137" s="5">
        <f t="shared" si="20"/>
        <v>11600.16</v>
      </c>
      <c r="K137" s="5">
        <f t="shared" si="21"/>
        <v>158.184</v>
      </c>
      <c r="L137" s="26">
        <f t="shared" ca="1" si="22"/>
        <v>46007.395068518519</v>
      </c>
      <c r="M137"/>
    </row>
    <row r="138" spans="1:13" ht="15.75" customHeight="1" x14ac:dyDescent="0.3">
      <c r="A138" s="29" t="s">
        <v>72</v>
      </c>
      <c r="B138" s="29" t="s">
        <v>38</v>
      </c>
      <c r="C138" s="29" t="s">
        <v>36</v>
      </c>
      <c r="D138" s="29" t="s">
        <v>17</v>
      </c>
      <c r="E138" s="29">
        <v>1465.35</v>
      </c>
      <c r="F138" s="29">
        <v>8</v>
      </c>
      <c r="G138" s="29">
        <f t="shared" si="19"/>
        <v>0.5</v>
      </c>
      <c r="H138" s="30">
        <v>45746</v>
      </c>
      <c r="I138" s="29">
        <v>586.14</v>
      </c>
      <c r="J138" s="5">
        <f t="shared" si="20"/>
        <v>11722.8</v>
      </c>
      <c r="K138" s="5">
        <f t="shared" si="21"/>
        <v>219.80249999999998</v>
      </c>
      <c r="L138" s="26">
        <f t="shared" ca="1" si="22"/>
        <v>46007.395068518519</v>
      </c>
      <c r="M138"/>
    </row>
    <row r="139" spans="1:13" ht="15.75" customHeight="1" x14ac:dyDescent="0.3">
      <c r="A139" s="29" t="s">
        <v>76</v>
      </c>
      <c r="B139" s="29" t="s">
        <v>25</v>
      </c>
      <c r="C139" s="29" t="s">
        <v>13</v>
      </c>
      <c r="D139" s="29" t="s">
        <v>17</v>
      </c>
      <c r="E139" s="29">
        <v>697.57</v>
      </c>
      <c r="F139" s="29">
        <v>17</v>
      </c>
      <c r="G139" s="29">
        <f t="shared" si="19"/>
        <v>0.5</v>
      </c>
      <c r="H139" s="30">
        <v>45584</v>
      </c>
      <c r="I139" s="29">
        <v>313.91000000000003</v>
      </c>
      <c r="J139" s="5">
        <f t="shared" si="20"/>
        <v>11858.69</v>
      </c>
      <c r="K139" s="5">
        <f t="shared" si="21"/>
        <v>104.63550000000001</v>
      </c>
      <c r="L139" s="26">
        <f t="shared" ca="1" si="22"/>
        <v>46007.395068518519</v>
      </c>
      <c r="M139"/>
    </row>
    <row r="140" spans="1:13" ht="15.75" customHeight="1" x14ac:dyDescent="0.3">
      <c r="A140" s="29" t="s">
        <v>72</v>
      </c>
      <c r="B140" s="29" t="s">
        <v>31</v>
      </c>
      <c r="C140" s="29" t="s">
        <v>36</v>
      </c>
      <c r="D140" s="29" t="s">
        <v>17</v>
      </c>
      <c r="E140" s="29">
        <v>741.88</v>
      </c>
      <c r="F140" s="29">
        <v>16</v>
      </c>
      <c r="G140" s="29">
        <f t="shared" si="19"/>
        <v>0.5</v>
      </c>
      <c r="H140" s="30">
        <v>45695</v>
      </c>
      <c r="I140" s="29">
        <v>333.85</v>
      </c>
      <c r="J140" s="5">
        <f t="shared" si="20"/>
        <v>11870.08</v>
      </c>
      <c r="K140" s="5">
        <f t="shared" si="21"/>
        <v>111.282</v>
      </c>
      <c r="L140" s="26">
        <f t="shared" ca="1" si="22"/>
        <v>46007.395068518519</v>
      </c>
      <c r="M140"/>
    </row>
    <row r="141" spans="1:13" ht="15.75" customHeight="1" x14ac:dyDescent="0.3">
      <c r="A141" s="29" t="s">
        <v>65</v>
      </c>
      <c r="B141" s="29" t="s">
        <v>33</v>
      </c>
      <c r="C141" s="29" t="s">
        <v>26</v>
      </c>
      <c r="D141" s="29" t="s">
        <v>41</v>
      </c>
      <c r="E141" s="29">
        <v>1001.57</v>
      </c>
      <c r="F141" s="29">
        <v>12</v>
      </c>
      <c r="G141" s="29">
        <f t="shared" si="19"/>
        <v>0.5</v>
      </c>
      <c r="H141" s="30">
        <v>45450</v>
      </c>
      <c r="I141" s="29">
        <v>450.71</v>
      </c>
      <c r="J141" s="5">
        <f t="shared" si="20"/>
        <v>12018.84</v>
      </c>
      <c r="K141" s="5">
        <f t="shared" si="21"/>
        <v>150.2355</v>
      </c>
      <c r="L141" s="26">
        <f t="shared" ca="1" si="22"/>
        <v>46007.395068518519</v>
      </c>
      <c r="M141"/>
    </row>
    <row r="142" spans="1:13" ht="15.75" customHeight="1" x14ac:dyDescent="0.3">
      <c r="A142" s="29" t="s">
        <v>18</v>
      </c>
      <c r="B142" s="29" t="s">
        <v>19</v>
      </c>
      <c r="C142" s="29" t="s">
        <v>20</v>
      </c>
      <c r="D142" s="29" t="s">
        <v>14</v>
      </c>
      <c r="E142" s="29">
        <v>713.34</v>
      </c>
      <c r="F142" s="29">
        <v>17</v>
      </c>
      <c r="G142" s="29">
        <f t="shared" si="19"/>
        <v>0.5</v>
      </c>
      <c r="H142" s="30">
        <v>45396</v>
      </c>
      <c r="I142" s="29">
        <v>285.33999999999997</v>
      </c>
      <c r="J142" s="5">
        <f t="shared" si="20"/>
        <v>12126.78</v>
      </c>
      <c r="K142" s="5">
        <f t="shared" si="21"/>
        <v>107.001</v>
      </c>
      <c r="L142" s="26">
        <f t="shared" ca="1" si="22"/>
        <v>46007.395068518519</v>
      </c>
      <c r="M142"/>
    </row>
    <row r="143" spans="1:13" ht="15.75" customHeight="1" x14ac:dyDescent="0.3">
      <c r="A143" s="29" t="s">
        <v>34</v>
      </c>
      <c r="B143" s="29" t="s">
        <v>40</v>
      </c>
      <c r="C143" s="29" t="s">
        <v>26</v>
      </c>
      <c r="D143" s="29" t="s">
        <v>23</v>
      </c>
      <c r="E143" s="29">
        <v>818.8</v>
      </c>
      <c r="F143" s="29">
        <v>15</v>
      </c>
      <c r="G143" s="29">
        <f t="shared" si="19"/>
        <v>0.5</v>
      </c>
      <c r="H143" s="30">
        <v>45468</v>
      </c>
      <c r="I143" s="29">
        <v>173.99</v>
      </c>
      <c r="J143" s="5">
        <f t="shared" si="20"/>
        <v>12282</v>
      </c>
      <c r="K143" s="5">
        <f t="shared" si="21"/>
        <v>122.82</v>
      </c>
      <c r="L143" s="26">
        <f t="shared" ca="1" si="22"/>
        <v>46007.395068518519</v>
      </c>
      <c r="M143"/>
    </row>
    <row r="144" spans="1:13" ht="15.75" customHeight="1" x14ac:dyDescent="0.3">
      <c r="A144" s="29" t="s">
        <v>42</v>
      </c>
      <c r="B144" s="29" t="s">
        <v>25</v>
      </c>
      <c r="C144" s="29" t="s">
        <v>20</v>
      </c>
      <c r="D144" s="29" t="s">
        <v>41</v>
      </c>
      <c r="E144" s="29">
        <v>1154.33</v>
      </c>
      <c r="F144" s="29">
        <v>11</v>
      </c>
      <c r="G144" s="29">
        <f t="shared" si="19"/>
        <v>0.5</v>
      </c>
      <c r="H144" s="30">
        <v>45549</v>
      </c>
      <c r="I144" s="29">
        <v>441.53</v>
      </c>
      <c r="J144" s="5">
        <f t="shared" si="20"/>
        <v>12697.63</v>
      </c>
      <c r="K144" s="5">
        <f t="shared" si="21"/>
        <v>173.14949999999999</v>
      </c>
      <c r="L144" s="26">
        <f t="shared" ca="1" si="22"/>
        <v>46007.395068518519</v>
      </c>
      <c r="M144"/>
    </row>
    <row r="145" spans="1:13" ht="15.75" customHeight="1" x14ac:dyDescent="0.3">
      <c r="A145" s="29" t="s">
        <v>27</v>
      </c>
      <c r="B145" s="29" t="s">
        <v>57</v>
      </c>
      <c r="C145" s="29" t="s">
        <v>26</v>
      </c>
      <c r="D145" s="29" t="s">
        <v>14</v>
      </c>
      <c r="E145" s="29">
        <v>679.71</v>
      </c>
      <c r="F145" s="29">
        <v>19</v>
      </c>
      <c r="G145" s="29">
        <f t="shared" si="19"/>
        <v>0.5</v>
      </c>
      <c r="H145" s="30">
        <v>45534</v>
      </c>
      <c r="I145" s="29">
        <v>271.88</v>
      </c>
      <c r="J145" s="5">
        <f t="shared" si="20"/>
        <v>12914.490000000002</v>
      </c>
      <c r="K145" s="5">
        <f t="shared" si="21"/>
        <v>101.95650000000001</v>
      </c>
      <c r="L145" s="26">
        <f t="shared" ca="1" si="22"/>
        <v>46007.395068518519</v>
      </c>
      <c r="M145"/>
    </row>
    <row r="146" spans="1:13" ht="15.75" customHeight="1" x14ac:dyDescent="0.3">
      <c r="A146" s="29" t="s">
        <v>34</v>
      </c>
      <c r="B146" s="29" t="s">
        <v>28</v>
      </c>
      <c r="C146" s="29" t="s">
        <v>22</v>
      </c>
      <c r="D146" s="29" t="s">
        <v>29</v>
      </c>
      <c r="E146" s="29">
        <v>1184.25</v>
      </c>
      <c r="F146" s="29">
        <v>11</v>
      </c>
      <c r="G146" s="29">
        <f t="shared" si="19"/>
        <v>0.5</v>
      </c>
      <c r="H146" s="30">
        <v>45742</v>
      </c>
      <c r="I146" s="29">
        <v>331.59</v>
      </c>
      <c r="J146" s="5">
        <f t="shared" si="20"/>
        <v>13026.75</v>
      </c>
      <c r="K146" s="5">
        <f t="shared" si="21"/>
        <v>177.63749999999999</v>
      </c>
      <c r="L146" s="26">
        <f t="shared" ca="1" si="22"/>
        <v>46007.395068518519</v>
      </c>
      <c r="M146"/>
    </row>
    <row r="147" spans="1:13" ht="15.75" customHeight="1" x14ac:dyDescent="0.3">
      <c r="A147" s="29" t="s">
        <v>46</v>
      </c>
      <c r="B147" s="29" t="s">
        <v>58</v>
      </c>
      <c r="C147" s="29" t="s">
        <v>36</v>
      </c>
      <c r="D147" s="29" t="s">
        <v>23</v>
      </c>
      <c r="E147" s="29">
        <v>1014.09</v>
      </c>
      <c r="F147" s="29">
        <v>13</v>
      </c>
      <c r="G147" s="29">
        <f t="shared" si="19"/>
        <v>0.5</v>
      </c>
      <c r="H147" s="30">
        <v>45567</v>
      </c>
      <c r="I147" s="29">
        <v>202.82</v>
      </c>
      <c r="J147" s="5">
        <f t="shared" si="20"/>
        <v>13183.17</v>
      </c>
      <c r="K147" s="5">
        <f t="shared" si="21"/>
        <v>152.11349999999999</v>
      </c>
      <c r="L147" s="26">
        <f t="shared" ca="1" si="22"/>
        <v>46007.395068518519</v>
      </c>
      <c r="M147"/>
    </row>
    <row r="148" spans="1:13" ht="15.75" customHeight="1" x14ac:dyDescent="0.3">
      <c r="A148" s="29" t="s">
        <v>59</v>
      </c>
      <c r="B148" s="29" t="s">
        <v>25</v>
      </c>
      <c r="C148" s="29" t="s">
        <v>26</v>
      </c>
      <c r="D148" s="29" t="s">
        <v>17</v>
      </c>
      <c r="E148" s="29">
        <v>1205.82</v>
      </c>
      <c r="F148" s="29">
        <v>11</v>
      </c>
      <c r="G148" s="29">
        <f t="shared" si="19"/>
        <v>0.5</v>
      </c>
      <c r="H148" s="30">
        <v>45559</v>
      </c>
      <c r="I148" s="29">
        <v>542.62</v>
      </c>
      <c r="J148" s="5">
        <f t="shared" si="20"/>
        <v>13264.019999999999</v>
      </c>
      <c r="K148" s="5">
        <f t="shared" si="21"/>
        <v>180.87299999999999</v>
      </c>
      <c r="L148" s="26">
        <f t="shared" ca="1" si="22"/>
        <v>46007.395068518519</v>
      </c>
      <c r="M148"/>
    </row>
    <row r="149" spans="1:13" ht="15.75" customHeight="1" x14ac:dyDescent="0.3">
      <c r="A149" s="29" t="s">
        <v>34</v>
      </c>
      <c r="B149" s="29" t="s">
        <v>63</v>
      </c>
      <c r="C149" s="29" t="s">
        <v>22</v>
      </c>
      <c r="D149" s="29" t="s">
        <v>29</v>
      </c>
      <c r="E149" s="29">
        <v>1350.33</v>
      </c>
      <c r="F149" s="29">
        <v>10</v>
      </c>
      <c r="G149" s="29">
        <f t="shared" si="19"/>
        <v>0.5</v>
      </c>
      <c r="H149" s="30">
        <v>45615</v>
      </c>
      <c r="I149" s="29">
        <v>472.62</v>
      </c>
      <c r="J149" s="5">
        <f t="shared" si="20"/>
        <v>13503.3</v>
      </c>
      <c r="K149" s="5">
        <f t="shared" si="21"/>
        <v>202.54949999999999</v>
      </c>
      <c r="L149" s="26">
        <f t="shared" ca="1" si="22"/>
        <v>46007.395068518519</v>
      </c>
      <c r="M149"/>
    </row>
    <row r="150" spans="1:13" ht="15.75" customHeight="1" x14ac:dyDescent="0.3">
      <c r="A150" s="29" t="s">
        <v>59</v>
      </c>
      <c r="B150" s="29" t="s">
        <v>57</v>
      </c>
      <c r="C150" s="29" t="s">
        <v>13</v>
      </c>
      <c r="D150" s="29" t="s">
        <v>29</v>
      </c>
      <c r="E150" s="29">
        <v>984.93</v>
      </c>
      <c r="F150" s="29">
        <v>14</v>
      </c>
      <c r="G150" s="29">
        <f t="shared" si="19"/>
        <v>0.5</v>
      </c>
      <c r="H150" s="30">
        <v>45733</v>
      </c>
      <c r="I150" s="29">
        <v>275.77999999999997</v>
      </c>
      <c r="J150" s="5">
        <f t="shared" si="20"/>
        <v>13789.019999999999</v>
      </c>
      <c r="K150" s="5">
        <f t="shared" si="21"/>
        <v>147.73949999999999</v>
      </c>
      <c r="L150" s="26">
        <f t="shared" ca="1" si="22"/>
        <v>46007.395068518519</v>
      </c>
      <c r="M150"/>
    </row>
    <row r="151" spans="1:13" ht="15.75" customHeight="1" x14ac:dyDescent="0.3">
      <c r="A151" s="29" t="s">
        <v>46</v>
      </c>
      <c r="B151" s="29" t="s">
        <v>25</v>
      </c>
      <c r="C151" s="29" t="s">
        <v>20</v>
      </c>
      <c r="D151" s="29" t="s">
        <v>41</v>
      </c>
      <c r="E151" s="29">
        <v>1014.22</v>
      </c>
      <c r="F151" s="29">
        <v>14</v>
      </c>
      <c r="G151" s="29">
        <f t="shared" si="19"/>
        <v>0.5</v>
      </c>
      <c r="H151" s="30">
        <v>45599</v>
      </c>
      <c r="I151" s="29">
        <v>433.58</v>
      </c>
      <c r="J151" s="5">
        <f t="shared" si="20"/>
        <v>14199.08</v>
      </c>
      <c r="K151" s="5">
        <f t="shared" si="21"/>
        <v>152.13300000000001</v>
      </c>
      <c r="L151" s="26">
        <f t="shared" ca="1" si="22"/>
        <v>46007.395068518519</v>
      </c>
      <c r="M151"/>
    </row>
    <row r="152" spans="1:13" ht="15.75" customHeight="1" x14ac:dyDescent="0.3">
      <c r="A152" s="29" t="s">
        <v>32</v>
      </c>
      <c r="B152" s="29" t="s">
        <v>63</v>
      </c>
      <c r="C152" s="29" t="s">
        <v>26</v>
      </c>
      <c r="D152" s="29" t="s">
        <v>29</v>
      </c>
      <c r="E152" s="29">
        <v>1227.25</v>
      </c>
      <c r="F152" s="29">
        <v>12</v>
      </c>
      <c r="G152" s="29">
        <f t="shared" si="19"/>
        <v>0.5</v>
      </c>
      <c r="H152" s="30">
        <v>45448</v>
      </c>
      <c r="I152" s="29">
        <v>365.11</v>
      </c>
      <c r="J152" s="5">
        <f t="shared" si="20"/>
        <v>14727</v>
      </c>
      <c r="K152" s="5">
        <f t="shared" si="21"/>
        <v>184.08750000000001</v>
      </c>
      <c r="L152" s="26">
        <f t="shared" ca="1" si="22"/>
        <v>46007.395068518519</v>
      </c>
      <c r="M152"/>
    </row>
    <row r="153" spans="1:13" ht="15.75" customHeight="1" x14ac:dyDescent="0.3">
      <c r="A153" s="29" t="s">
        <v>77</v>
      </c>
      <c r="B153" s="29" t="s">
        <v>33</v>
      </c>
      <c r="C153" s="29" t="s">
        <v>36</v>
      </c>
      <c r="D153" s="29" t="s">
        <v>17</v>
      </c>
      <c r="E153" s="29">
        <v>826.97</v>
      </c>
      <c r="F153" s="29">
        <v>18</v>
      </c>
      <c r="G153" s="29">
        <f t="shared" si="19"/>
        <v>0.5</v>
      </c>
      <c r="H153" s="30">
        <v>45715</v>
      </c>
      <c r="I153" s="29">
        <v>330.79</v>
      </c>
      <c r="J153" s="5">
        <f t="shared" si="20"/>
        <v>14885.460000000001</v>
      </c>
      <c r="K153" s="5">
        <f t="shared" si="21"/>
        <v>124.0455</v>
      </c>
      <c r="L153" s="26">
        <f t="shared" ca="1" si="22"/>
        <v>46007.395068518519</v>
      </c>
      <c r="M153"/>
    </row>
    <row r="154" spans="1:13" ht="15.75" customHeight="1" x14ac:dyDescent="0.3">
      <c r="A154" s="29" t="s">
        <v>76</v>
      </c>
      <c r="B154" s="29" t="s">
        <v>31</v>
      </c>
      <c r="C154" s="29" t="s">
        <v>36</v>
      </c>
      <c r="D154" s="29" t="s">
        <v>23</v>
      </c>
      <c r="E154" s="29">
        <v>1488.58</v>
      </c>
      <c r="F154" s="29">
        <v>10</v>
      </c>
      <c r="G154" s="29">
        <f t="shared" si="19"/>
        <v>0.5</v>
      </c>
      <c r="H154" s="30">
        <v>45640</v>
      </c>
      <c r="I154" s="29">
        <v>316.32</v>
      </c>
      <c r="J154" s="5">
        <f t="shared" si="20"/>
        <v>14885.8</v>
      </c>
      <c r="K154" s="5">
        <f t="shared" si="21"/>
        <v>223.28699999999998</v>
      </c>
      <c r="L154" s="26">
        <f t="shared" ca="1" si="22"/>
        <v>46007.395068518519</v>
      </c>
      <c r="M154"/>
    </row>
    <row r="155" spans="1:13" ht="15.75" customHeight="1" x14ac:dyDescent="0.3">
      <c r="A155" s="29" t="s">
        <v>67</v>
      </c>
      <c r="B155" s="29" t="s">
        <v>63</v>
      </c>
      <c r="C155" s="29" t="s">
        <v>22</v>
      </c>
      <c r="D155" s="29" t="s">
        <v>29</v>
      </c>
      <c r="E155" s="29">
        <v>806.03</v>
      </c>
      <c r="F155" s="29">
        <v>19</v>
      </c>
      <c r="G155" s="29">
        <f t="shared" si="19"/>
        <v>0.5</v>
      </c>
      <c r="H155" s="30">
        <v>45638</v>
      </c>
      <c r="I155" s="29">
        <v>268</v>
      </c>
      <c r="J155" s="5">
        <f t="shared" si="20"/>
        <v>15314.57</v>
      </c>
      <c r="K155" s="5">
        <f t="shared" si="21"/>
        <v>120.90449999999998</v>
      </c>
      <c r="L155" s="26">
        <f t="shared" ca="1" si="22"/>
        <v>46007.395068518519</v>
      </c>
      <c r="M155"/>
    </row>
    <row r="156" spans="1:13" ht="15.75" customHeight="1" x14ac:dyDescent="0.3">
      <c r="A156" s="29" t="s">
        <v>54</v>
      </c>
      <c r="B156" s="29" t="s">
        <v>50</v>
      </c>
      <c r="C156" s="29" t="s">
        <v>36</v>
      </c>
      <c r="D156" s="29" t="s">
        <v>29</v>
      </c>
      <c r="E156" s="29">
        <v>1410.06</v>
      </c>
      <c r="F156" s="29">
        <v>11</v>
      </c>
      <c r="G156" s="29">
        <f t="shared" si="19"/>
        <v>0.5</v>
      </c>
      <c r="H156" s="30">
        <v>45434</v>
      </c>
      <c r="I156" s="29">
        <v>468.84</v>
      </c>
      <c r="J156" s="5">
        <f t="shared" si="20"/>
        <v>15510.66</v>
      </c>
      <c r="K156" s="5">
        <f t="shared" si="21"/>
        <v>211.50899999999999</v>
      </c>
      <c r="L156" s="26">
        <f t="shared" ca="1" si="22"/>
        <v>46007.395068518519</v>
      </c>
      <c r="M156"/>
    </row>
    <row r="157" spans="1:13" ht="15.75" customHeight="1" x14ac:dyDescent="0.3">
      <c r="A157" s="29" t="s">
        <v>37</v>
      </c>
      <c r="B157" s="29" t="s">
        <v>31</v>
      </c>
      <c r="C157" s="29" t="s">
        <v>13</v>
      </c>
      <c r="D157" s="29" t="s">
        <v>29</v>
      </c>
      <c r="E157" s="29">
        <v>862.19</v>
      </c>
      <c r="F157" s="29">
        <v>18</v>
      </c>
      <c r="G157" s="29">
        <f t="shared" si="19"/>
        <v>0.5</v>
      </c>
      <c r="H157" s="30">
        <v>45663</v>
      </c>
      <c r="I157" s="29">
        <v>286.68</v>
      </c>
      <c r="J157" s="5">
        <f t="shared" si="20"/>
        <v>15519.420000000002</v>
      </c>
      <c r="K157" s="5">
        <f t="shared" si="21"/>
        <v>129.32849999999999</v>
      </c>
      <c r="L157" s="26">
        <f t="shared" ca="1" si="22"/>
        <v>46007.395068518519</v>
      </c>
      <c r="M157"/>
    </row>
    <row r="158" spans="1:13" ht="15.75" customHeight="1" x14ac:dyDescent="0.3">
      <c r="A158" s="29" t="s">
        <v>69</v>
      </c>
      <c r="B158" s="29" t="s">
        <v>25</v>
      </c>
      <c r="C158" s="29" t="s">
        <v>26</v>
      </c>
      <c r="D158" s="29" t="s">
        <v>29</v>
      </c>
      <c r="E158" s="29">
        <v>1034.7</v>
      </c>
      <c r="F158" s="29">
        <v>15</v>
      </c>
      <c r="G158" s="29">
        <f t="shared" si="19"/>
        <v>0.5</v>
      </c>
      <c r="H158" s="30">
        <v>45487</v>
      </c>
      <c r="I158" s="29">
        <v>307.82</v>
      </c>
      <c r="J158" s="5">
        <f t="shared" si="20"/>
        <v>15520.5</v>
      </c>
      <c r="K158" s="5">
        <f t="shared" si="21"/>
        <v>155.20500000000001</v>
      </c>
      <c r="L158" s="26">
        <f t="shared" ca="1" si="22"/>
        <v>46007.395068518519</v>
      </c>
      <c r="M158"/>
    </row>
    <row r="159" spans="1:13" ht="15.75" customHeight="1" x14ac:dyDescent="0.3">
      <c r="A159" s="29" t="s">
        <v>54</v>
      </c>
      <c r="B159" s="29" t="s">
        <v>25</v>
      </c>
      <c r="C159" s="29" t="s">
        <v>13</v>
      </c>
      <c r="D159" s="29" t="s">
        <v>23</v>
      </c>
      <c r="E159" s="29">
        <v>1115.22</v>
      </c>
      <c r="F159" s="29">
        <v>14</v>
      </c>
      <c r="G159" s="29">
        <f t="shared" si="19"/>
        <v>0.5</v>
      </c>
      <c r="H159" s="30">
        <v>45705</v>
      </c>
      <c r="I159" s="29">
        <v>223.04</v>
      </c>
      <c r="J159" s="5">
        <f t="shared" si="20"/>
        <v>15613.08</v>
      </c>
      <c r="K159" s="5">
        <f t="shared" si="21"/>
        <v>167.28299999999999</v>
      </c>
      <c r="L159" s="26">
        <f t="shared" ca="1" si="22"/>
        <v>46007.395068518519</v>
      </c>
      <c r="M159"/>
    </row>
    <row r="160" spans="1:13" ht="15.75" customHeight="1" x14ac:dyDescent="0.3">
      <c r="A160" s="29" t="s">
        <v>72</v>
      </c>
      <c r="B160" s="29" t="s">
        <v>68</v>
      </c>
      <c r="C160" s="29" t="s">
        <v>20</v>
      </c>
      <c r="D160" s="29" t="s">
        <v>14</v>
      </c>
      <c r="E160" s="29">
        <v>980.18</v>
      </c>
      <c r="F160" s="29">
        <v>16</v>
      </c>
      <c r="G160" s="29">
        <f t="shared" si="19"/>
        <v>0.5</v>
      </c>
      <c r="H160" s="30">
        <v>45582</v>
      </c>
      <c r="I160" s="29">
        <v>352.86</v>
      </c>
      <c r="J160" s="5">
        <f t="shared" si="20"/>
        <v>15682.88</v>
      </c>
      <c r="K160" s="5">
        <f t="shared" si="21"/>
        <v>147.02699999999999</v>
      </c>
      <c r="L160" s="26">
        <f t="shared" ca="1" si="22"/>
        <v>46007.395068518519</v>
      </c>
      <c r="M160"/>
    </row>
    <row r="161" spans="1:13" ht="15.75" customHeight="1" x14ac:dyDescent="0.3">
      <c r="A161" s="29" t="s">
        <v>15</v>
      </c>
      <c r="B161" s="29" t="s">
        <v>50</v>
      </c>
      <c r="C161" s="29" t="s">
        <v>26</v>
      </c>
      <c r="D161" s="29" t="s">
        <v>23</v>
      </c>
      <c r="E161" s="29">
        <v>925.29</v>
      </c>
      <c r="F161" s="29">
        <v>17</v>
      </c>
      <c r="G161" s="29">
        <f t="shared" si="19"/>
        <v>0.5</v>
      </c>
      <c r="H161" s="30">
        <v>45570</v>
      </c>
      <c r="I161" s="29">
        <v>231.32</v>
      </c>
      <c r="J161" s="5">
        <f t="shared" si="20"/>
        <v>15729.93</v>
      </c>
      <c r="K161" s="5">
        <f t="shared" si="21"/>
        <v>138.79349999999999</v>
      </c>
      <c r="L161" s="26">
        <f t="shared" ca="1" si="22"/>
        <v>46007.395068518519</v>
      </c>
      <c r="M161"/>
    </row>
    <row r="162" spans="1:13" ht="15.75" customHeight="1" x14ac:dyDescent="0.3">
      <c r="A162" s="29" t="s">
        <v>30</v>
      </c>
      <c r="B162" s="29" t="s">
        <v>31</v>
      </c>
      <c r="C162" s="29" t="s">
        <v>13</v>
      </c>
      <c r="D162" s="29" t="s">
        <v>23</v>
      </c>
      <c r="E162" s="29">
        <v>1317.53</v>
      </c>
      <c r="F162" s="29">
        <v>12</v>
      </c>
      <c r="G162" s="29">
        <f t="shared" ref="G162:G193" si="23">$R$2</f>
        <v>0.5</v>
      </c>
      <c r="H162" s="30">
        <v>45398</v>
      </c>
      <c r="I162" s="29">
        <v>312.91000000000003</v>
      </c>
      <c r="J162" s="5">
        <f t="shared" ref="J162:J193" si="24">E162*F162</f>
        <v>15810.36</v>
      </c>
      <c r="K162" s="5">
        <f t="shared" ref="K162:K193" si="25" xml:space="preserve"> (E162 - (E162 *$R$2)) * 0.3</f>
        <v>197.62949999999998</v>
      </c>
      <c r="L162" s="26">
        <f t="shared" ref="L162:L193" ca="1" si="26">NOW()</f>
        <v>46007.395068518519</v>
      </c>
      <c r="M162"/>
    </row>
    <row r="163" spans="1:13" ht="15.75" customHeight="1" x14ac:dyDescent="0.3">
      <c r="A163" s="29" t="s">
        <v>32</v>
      </c>
      <c r="B163" s="29" t="s">
        <v>33</v>
      </c>
      <c r="C163" s="29" t="s">
        <v>20</v>
      </c>
      <c r="D163" s="29" t="s">
        <v>29</v>
      </c>
      <c r="E163" s="29">
        <v>933.71</v>
      </c>
      <c r="F163" s="29">
        <v>17</v>
      </c>
      <c r="G163" s="29">
        <f t="shared" si="23"/>
        <v>0.5</v>
      </c>
      <c r="H163" s="30">
        <v>45481</v>
      </c>
      <c r="I163" s="29">
        <v>294.12</v>
      </c>
      <c r="J163" s="5">
        <f t="shared" si="24"/>
        <v>15873.07</v>
      </c>
      <c r="K163" s="5">
        <f t="shared" si="25"/>
        <v>140.0565</v>
      </c>
      <c r="L163" s="26">
        <f t="shared" ca="1" si="26"/>
        <v>46007.395068518519</v>
      </c>
      <c r="M163"/>
    </row>
    <row r="164" spans="1:13" ht="15.75" customHeight="1" x14ac:dyDescent="0.3">
      <c r="A164" s="29" t="s">
        <v>65</v>
      </c>
      <c r="B164" s="29" t="s">
        <v>31</v>
      </c>
      <c r="C164" s="29" t="s">
        <v>26</v>
      </c>
      <c r="D164" s="29" t="s">
        <v>14</v>
      </c>
      <c r="E164" s="29">
        <v>884.63</v>
      </c>
      <c r="F164" s="29">
        <v>18</v>
      </c>
      <c r="G164" s="29">
        <f t="shared" si="23"/>
        <v>0.5</v>
      </c>
      <c r="H164" s="30">
        <v>45659</v>
      </c>
      <c r="I164" s="29">
        <v>318.47000000000003</v>
      </c>
      <c r="J164" s="5">
        <f t="shared" si="24"/>
        <v>15923.34</v>
      </c>
      <c r="K164" s="5">
        <f t="shared" si="25"/>
        <v>132.69450000000001</v>
      </c>
      <c r="L164" s="26">
        <f t="shared" ca="1" si="26"/>
        <v>46007.395068518519</v>
      </c>
      <c r="M164"/>
    </row>
    <row r="165" spans="1:13" ht="15.75" customHeight="1" x14ac:dyDescent="0.3">
      <c r="A165" s="29" t="s">
        <v>59</v>
      </c>
      <c r="B165" s="29" t="s">
        <v>25</v>
      </c>
      <c r="C165" s="29" t="s">
        <v>36</v>
      </c>
      <c r="D165" s="29" t="s">
        <v>14</v>
      </c>
      <c r="E165" s="29">
        <v>840.85</v>
      </c>
      <c r="F165" s="29">
        <v>19</v>
      </c>
      <c r="G165" s="29">
        <f t="shared" si="23"/>
        <v>0.5</v>
      </c>
      <c r="H165" s="30">
        <v>45448</v>
      </c>
      <c r="I165" s="29">
        <v>302.70999999999998</v>
      </c>
      <c r="J165" s="5">
        <f t="shared" si="24"/>
        <v>15976.15</v>
      </c>
      <c r="K165" s="5">
        <f t="shared" si="25"/>
        <v>126.1275</v>
      </c>
      <c r="L165" s="26">
        <f t="shared" ca="1" si="26"/>
        <v>46007.395068518519</v>
      </c>
      <c r="M165"/>
    </row>
    <row r="166" spans="1:13" ht="15.75" customHeight="1" x14ac:dyDescent="0.3">
      <c r="A166" s="29" t="s">
        <v>27</v>
      </c>
      <c r="B166" s="29" t="s">
        <v>28</v>
      </c>
      <c r="C166" s="29" t="s">
        <v>36</v>
      </c>
      <c r="D166" s="29" t="s">
        <v>14</v>
      </c>
      <c r="E166" s="29">
        <v>1191.58</v>
      </c>
      <c r="F166" s="29">
        <v>14</v>
      </c>
      <c r="G166" s="29">
        <f t="shared" si="23"/>
        <v>0.5</v>
      </c>
      <c r="H166" s="30">
        <v>45406</v>
      </c>
      <c r="I166" s="29">
        <v>452.8</v>
      </c>
      <c r="J166" s="5">
        <f t="shared" si="24"/>
        <v>16682.12</v>
      </c>
      <c r="K166" s="5">
        <f t="shared" si="25"/>
        <v>178.73699999999999</v>
      </c>
      <c r="L166" s="26">
        <f t="shared" ca="1" si="26"/>
        <v>46007.395068518519</v>
      </c>
      <c r="M166"/>
    </row>
    <row r="167" spans="1:13" ht="15.75" customHeight="1" x14ac:dyDescent="0.3">
      <c r="A167" s="29" t="s">
        <v>60</v>
      </c>
      <c r="B167" s="29" t="s">
        <v>55</v>
      </c>
      <c r="C167" s="29" t="s">
        <v>26</v>
      </c>
      <c r="D167" s="29" t="s">
        <v>41</v>
      </c>
      <c r="E167" s="29">
        <v>1200.9000000000001</v>
      </c>
      <c r="F167" s="29">
        <v>14</v>
      </c>
      <c r="G167" s="29">
        <f t="shared" si="23"/>
        <v>0.5</v>
      </c>
      <c r="H167" s="30">
        <v>45429</v>
      </c>
      <c r="I167" s="29">
        <v>513.38</v>
      </c>
      <c r="J167" s="5">
        <f t="shared" si="24"/>
        <v>16812.600000000002</v>
      </c>
      <c r="K167" s="5">
        <f t="shared" si="25"/>
        <v>180.13500000000002</v>
      </c>
      <c r="L167" s="26">
        <f t="shared" ca="1" si="26"/>
        <v>46007.395068518519</v>
      </c>
      <c r="M167"/>
    </row>
    <row r="168" spans="1:13" ht="15.75" customHeight="1" x14ac:dyDescent="0.3">
      <c r="A168" s="29" t="s">
        <v>67</v>
      </c>
      <c r="B168" s="29" t="s">
        <v>50</v>
      </c>
      <c r="C168" s="29" t="s">
        <v>13</v>
      </c>
      <c r="D168" s="29" t="s">
        <v>14</v>
      </c>
      <c r="E168" s="29">
        <v>942.9</v>
      </c>
      <c r="F168" s="29">
        <v>18</v>
      </c>
      <c r="G168" s="29">
        <f t="shared" si="23"/>
        <v>0.5</v>
      </c>
      <c r="H168" s="30">
        <v>45466</v>
      </c>
      <c r="I168" s="29">
        <v>339.44</v>
      </c>
      <c r="J168" s="5">
        <f t="shared" si="24"/>
        <v>16972.2</v>
      </c>
      <c r="K168" s="5">
        <f t="shared" si="25"/>
        <v>141.435</v>
      </c>
      <c r="L168" s="26">
        <f t="shared" ca="1" si="26"/>
        <v>46007.395068518519</v>
      </c>
      <c r="M168"/>
    </row>
    <row r="169" spans="1:13" ht="15.75" customHeight="1" x14ac:dyDescent="0.3">
      <c r="A169" s="29" t="s">
        <v>30</v>
      </c>
      <c r="B169" s="29" t="s">
        <v>45</v>
      </c>
      <c r="C169" s="29" t="s">
        <v>13</v>
      </c>
      <c r="D169" s="29" t="s">
        <v>23</v>
      </c>
      <c r="E169" s="29">
        <v>894.55</v>
      </c>
      <c r="F169" s="29">
        <v>19</v>
      </c>
      <c r="G169" s="29">
        <f t="shared" si="23"/>
        <v>0.5</v>
      </c>
      <c r="H169" s="30">
        <v>45625</v>
      </c>
      <c r="I169" s="29">
        <v>178.91</v>
      </c>
      <c r="J169" s="5">
        <f t="shared" si="24"/>
        <v>16996.45</v>
      </c>
      <c r="K169" s="5">
        <f t="shared" si="25"/>
        <v>134.18249999999998</v>
      </c>
      <c r="L169" s="26">
        <f t="shared" ca="1" si="26"/>
        <v>46007.395068518519</v>
      </c>
      <c r="M169"/>
    </row>
    <row r="170" spans="1:13" ht="15.75" customHeight="1" x14ac:dyDescent="0.3">
      <c r="A170" s="29" t="s">
        <v>69</v>
      </c>
      <c r="B170" s="29" t="s">
        <v>12</v>
      </c>
      <c r="C170" s="29" t="s">
        <v>13</v>
      </c>
      <c r="D170" s="29" t="s">
        <v>23</v>
      </c>
      <c r="E170" s="29">
        <v>1005.53</v>
      </c>
      <c r="F170" s="29">
        <v>17</v>
      </c>
      <c r="G170" s="29">
        <f t="shared" si="23"/>
        <v>0.5</v>
      </c>
      <c r="H170" s="30">
        <v>45481</v>
      </c>
      <c r="I170" s="29">
        <v>201.11</v>
      </c>
      <c r="J170" s="5">
        <f t="shared" si="24"/>
        <v>17094.009999999998</v>
      </c>
      <c r="K170" s="5">
        <f t="shared" si="25"/>
        <v>150.8295</v>
      </c>
      <c r="L170" s="26">
        <f t="shared" ca="1" si="26"/>
        <v>46007.395068518519</v>
      </c>
      <c r="M170"/>
    </row>
    <row r="171" spans="1:13" ht="15.75" customHeight="1" x14ac:dyDescent="0.3">
      <c r="A171" s="29" t="s">
        <v>21</v>
      </c>
      <c r="B171" s="29" t="s">
        <v>44</v>
      </c>
      <c r="C171" s="29" t="s">
        <v>22</v>
      </c>
      <c r="D171" s="29" t="s">
        <v>14</v>
      </c>
      <c r="E171" s="29">
        <v>1151.21</v>
      </c>
      <c r="F171" s="29">
        <v>15</v>
      </c>
      <c r="G171" s="29">
        <f t="shared" si="23"/>
        <v>0.5</v>
      </c>
      <c r="H171" s="30">
        <v>45445</v>
      </c>
      <c r="I171" s="29">
        <v>414.44</v>
      </c>
      <c r="J171" s="5">
        <f t="shared" si="24"/>
        <v>17268.150000000001</v>
      </c>
      <c r="K171" s="5">
        <f t="shared" si="25"/>
        <v>172.6815</v>
      </c>
      <c r="L171" s="26">
        <f t="shared" ca="1" si="26"/>
        <v>46007.395068518519</v>
      </c>
      <c r="M171"/>
    </row>
    <row r="172" spans="1:13" ht="15.75" customHeight="1" x14ac:dyDescent="0.3">
      <c r="A172" s="29" t="s">
        <v>60</v>
      </c>
      <c r="B172" s="29" t="s">
        <v>25</v>
      </c>
      <c r="C172" s="29" t="s">
        <v>13</v>
      </c>
      <c r="D172" s="29" t="s">
        <v>17</v>
      </c>
      <c r="E172" s="29">
        <v>1923.66</v>
      </c>
      <c r="F172" s="29">
        <v>9</v>
      </c>
      <c r="G172" s="29">
        <f t="shared" si="23"/>
        <v>0.5</v>
      </c>
      <c r="H172" s="30">
        <v>45580</v>
      </c>
      <c r="I172" s="29">
        <v>769.46</v>
      </c>
      <c r="J172" s="5">
        <f t="shared" si="24"/>
        <v>17312.940000000002</v>
      </c>
      <c r="K172" s="5">
        <f t="shared" si="25"/>
        <v>288.54899999999998</v>
      </c>
      <c r="L172" s="26">
        <f t="shared" ca="1" si="26"/>
        <v>46007.395068518519</v>
      </c>
      <c r="M172"/>
    </row>
    <row r="173" spans="1:13" ht="15.75" customHeight="1" x14ac:dyDescent="0.3">
      <c r="A173" s="29" t="s">
        <v>51</v>
      </c>
      <c r="B173" s="29" t="s">
        <v>58</v>
      </c>
      <c r="C173" s="29" t="s">
        <v>36</v>
      </c>
      <c r="D173" s="29" t="s">
        <v>14</v>
      </c>
      <c r="E173" s="29">
        <v>1023.21</v>
      </c>
      <c r="F173" s="29">
        <v>18</v>
      </c>
      <c r="G173" s="29">
        <f t="shared" si="23"/>
        <v>0.5</v>
      </c>
      <c r="H173" s="30">
        <v>45428</v>
      </c>
      <c r="I173" s="29">
        <v>388.82</v>
      </c>
      <c r="J173" s="5">
        <f t="shared" si="24"/>
        <v>18417.78</v>
      </c>
      <c r="K173" s="5">
        <f t="shared" si="25"/>
        <v>153.48150000000001</v>
      </c>
      <c r="L173" s="26">
        <f t="shared" ca="1" si="26"/>
        <v>46007.395068518519</v>
      </c>
      <c r="M173"/>
    </row>
    <row r="174" spans="1:13" ht="15.75" customHeight="1" x14ac:dyDescent="0.3">
      <c r="A174" s="29" t="s">
        <v>46</v>
      </c>
      <c r="B174" s="29" t="s">
        <v>63</v>
      </c>
      <c r="C174" s="29" t="s">
        <v>20</v>
      </c>
      <c r="D174" s="29" t="s">
        <v>29</v>
      </c>
      <c r="E174" s="29">
        <v>1093.3800000000001</v>
      </c>
      <c r="F174" s="29">
        <v>17</v>
      </c>
      <c r="G174" s="29">
        <f t="shared" si="23"/>
        <v>0.5</v>
      </c>
      <c r="H174" s="30">
        <v>45745</v>
      </c>
      <c r="I174" s="29">
        <v>344.41</v>
      </c>
      <c r="J174" s="5">
        <f t="shared" si="24"/>
        <v>18587.460000000003</v>
      </c>
      <c r="K174" s="5">
        <f t="shared" si="25"/>
        <v>164.00700000000001</v>
      </c>
      <c r="L174" s="26">
        <f t="shared" ca="1" si="26"/>
        <v>46007.395068518519</v>
      </c>
      <c r="M174"/>
    </row>
    <row r="175" spans="1:13" ht="15.75" customHeight="1" x14ac:dyDescent="0.3">
      <c r="A175" s="29" t="s">
        <v>70</v>
      </c>
      <c r="B175" s="29" t="s">
        <v>71</v>
      </c>
      <c r="C175" s="29" t="s">
        <v>22</v>
      </c>
      <c r="D175" s="29" t="s">
        <v>41</v>
      </c>
      <c r="E175" s="29">
        <v>981.2</v>
      </c>
      <c r="F175" s="29">
        <v>19</v>
      </c>
      <c r="G175" s="29">
        <f t="shared" si="23"/>
        <v>0.5</v>
      </c>
      <c r="H175" s="30">
        <v>45504</v>
      </c>
      <c r="I175" s="29">
        <v>441.54</v>
      </c>
      <c r="J175" s="5">
        <f t="shared" si="24"/>
        <v>18642.8</v>
      </c>
      <c r="K175" s="5">
        <f t="shared" si="25"/>
        <v>147.18</v>
      </c>
      <c r="L175" s="26">
        <f t="shared" ca="1" si="26"/>
        <v>46007.395068518519</v>
      </c>
      <c r="M175"/>
    </row>
    <row r="176" spans="1:13" ht="15.75" customHeight="1" x14ac:dyDescent="0.3">
      <c r="A176" s="29" t="s">
        <v>54</v>
      </c>
      <c r="B176" s="29" t="s">
        <v>55</v>
      </c>
      <c r="C176" s="29" t="s">
        <v>20</v>
      </c>
      <c r="D176" s="29" t="s">
        <v>41</v>
      </c>
      <c r="E176" s="29">
        <v>983.34</v>
      </c>
      <c r="F176" s="29">
        <v>19</v>
      </c>
      <c r="G176" s="29">
        <f t="shared" si="23"/>
        <v>0.5</v>
      </c>
      <c r="H176" s="30">
        <v>45426</v>
      </c>
      <c r="I176" s="29">
        <v>398.25</v>
      </c>
      <c r="J176" s="5">
        <f t="shared" si="24"/>
        <v>18683.46</v>
      </c>
      <c r="K176" s="5">
        <f t="shared" si="25"/>
        <v>147.501</v>
      </c>
      <c r="L176" s="26">
        <f t="shared" ca="1" si="26"/>
        <v>46007.395068518519</v>
      </c>
      <c r="M176"/>
    </row>
    <row r="177" spans="1:13" ht="15.75" customHeight="1" x14ac:dyDescent="0.3">
      <c r="A177" s="29" t="s">
        <v>39</v>
      </c>
      <c r="B177" s="29" t="s">
        <v>38</v>
      </c>
      <c r="C177" s="29" t="s">
        <v>36</v>
      </c>
      <c r="D177" s="29" t="s">
        <v>14</v>
      </c>
      <c r="E177" s="29">
        <v>1343.13</v>
      </c>
      <c r="F177" s="29">
        <v>14</v>
      </c>
      <c r="G177" s="29">
        <f t="shared" si="23"/>
        <v>0.5</v>
      </c>
      <c r="H177" s="30">
        <v>45404</v>
      </c>
      <c r="I177" s="29">
        <v>456.66</v>
      </c>
      <c r="J177" s="5">
        <f t="shared" si="24"/>
        <v>18803.82</v>
      </c>
      <c r="K177" s="5">
        <f t="shared" si="25"/>
        <v>201.46950000000001</v>
      </c>
      <c r="L177" s="26">
        <f t="shared" ca="1" si="26"/>
        <v>46007.395068518519</v>
      </c>
      <c r="M177"/>
    </row>
    <row r="178" spans="1:13" ht="15.75" customHeight="1" x14ac:dyDescent="0.3">
      <c r="A178" s="29" t="s">
        <v>51</v>
      </c>
      <c r="B178" s="29" t="s">
        <v>25</v>
      </c>
      <c r="C178" s="29" t="s">
        <v>13</v>
      </c>
      <c r="D178" s="29" t="s">
        <v>14</v>
      </c>
      <c r="E178" s="29">
        <v>1353.79</v>
      </c>
      <c r="F178" s="29">
        <v>14</v>
      </c>
      <c r="G178" s="29">
        <f t="shared" si="23"/>
        <v>0.5</v>
      </c>
      <c r="H178" s="30">
        <v>45656</v>
      </c>
      <c r="I178" s="29">
        <v>487.36</v>
      </c>
      <c r="J178" s="5">
        <f t="shared" si="24"/>
        <v>18953.059999999998</v>
      </c>
      <c r="K178" s="5">
        <f t="shared" si="25"/>
        <v>203.0685</v>
      </c>
      <c r="L178" s="26">
        <f t="shared" ca="1" si="26"/>
        <v>46007.395068518519</v>
      </c>
      <c r="M178"/>
    </row>
    <row r="179" spans="1:13" ht="15.75" customHeight="1" x14ac:dyDescent="0.3">
      <c r="A179" s="29" t="s">
        <v>39</v>
      </c>
      <c r="B179" s="29" t="s">
        <v>40</v>
      </c>
      <c r="C179" s="29" t="s">
        <v>22</v>
      </c>
      <c r="D179" s="29" t="s">
        <v>14</v>
      </c>
      <c r="E179" s="29">
        <v>1064.19</v>
      </c>
      <c r="F179" s="29">
        <v>18</v>
      </c>
      <c r="G179" s="29">
        <f t="shared" si="23"/>
        <v>0.5</v>
      </c>
      <c r="H179" s="30">
        <v>45725</v>
      </c>
      <c r="I179" s="29">
        <v>404.39</v>
      </c>
      <c r="J179" s="5">
        <f t="shared" si="24"/>
        <v>19155.420000000002</v>
      </c>
      <c r="K179" s="5">
        <f t="shared" si="25"/>
        <v>159.6285</v>
      </c>
      <c r="L179" s="26">
        <f t="shared" ca="1" si="26"/>
        <v>46007.395068518519</v>
      </c>
      <c r="M179"/>
    </row>
    <row r="180" spans="1:13" ht="15.75" customHeight="1" x14ac:dyDescent="0.3">
      <c r="A180" s="29" t="s">
        <v>67</v>
      </c>
      <c r="B180" s="29" t="s">
        <v>49</v>
      </c>
      <c r="C180" s="29" t="s">
        <v>36</v>
      </c>
      <c r="D180" s="29" t="s">
        <v>41</v>
      </c>
      <c r="E180" s="29">
        <v>1618.22</v>
      </c>
      <c r="F180" s="29">
        <v>12</v>
      </c>
      <c r="G180" s="29">
        <f t="shared" si="23"/>
        <v>0.5</v>
      </c>
      <c r="H180" s="30">
        <v>45712</v>
      </c>
      <c r="I180" s="29">
        <v>582.55999999999995</v>
      </c>
      <c r="J180" s="5">
        <f t="shared" si="24"/>
        <v>19418.64</v>
      </c>
      <c r="K180" s="5">
        <f t="shared" si="25"/>
        <v>242.733</v>
      </c>
      <c r="L180" s="26">
        <f t="shared" ca="1" si="26"/>
        <v>46007.395068518519</v>
      </c>
      <c r="M180"/>
    </row>
    <row r="181" spans="1:13" ht="15.75" customHeight="1" x14ac:dyDescent="0.3">
      <c r="A181" s="29" t="s">
        <v>70</v>
      </c>
      <c r="B181" s="29" t="s">
        <v>35</v>
      </c>
      <c r="C181" s="29" t="s">
        <v>20</v>
      </c>
      <c r="D181" s="29" t="s">
        <v>29</v>
      </c>
      <c r="E181" s="29">
        <v>1143.69</v>
      </c>
      <c r="F181" s="29">
        <v>17</v>
      </c>
      <c r="G181" s="29">
        <f t="shared" si="23"/>
        <v>0.5</v>
      </c>
      <c r="H181" s="30">
        <v>45534</v>
      </c>
      <c r="I181" s="29">
        <v>400.29</v>
      </c>
      <c r="J181" s="5">
        <f t="shared" si="24"/>
        <v>19442.73</v>
      </c>
      <c r="K181" s="5">
        <f t="shared" si="25"/>
        <v>171.55350000000001</v>
      </c>
      <c r="L181" s="26">
        <f t="shared" ca="1" si="26"/>
        <v>46007.395068518519</v>
      </c>
      <c r="M181"/>
    </row>
    <row r="182" spans="1:13" ht="15.75" customHeight="1" x14ac:dyDescent="0.3">
      <c r="A182" s="29" t="s">
        <v>72</v>
      </c>
      <c r="B182" s="29" t="s">
        <v>55</v>
      </c>
      <c r="C182" s="29" t="s">
        <v>26</v>
      </c>
      <c r="D182" s="29" t="s">
        <v>17</v>
      </c>
      <c r="E182" s="29">
        <v>1622.62</v>
      </c>
      <c r="F182" s="29">
        <v>12</v>
      </c>
      <c r="G182" s="29">
        <f t="shared" si="23"/>
        <v>0.5</v>
      </c>
      <c r="H182" s="30">
        <v>45677</v>
      </c>
      <c r="I182" s="29">
        <v>649.04999999999995</v>
      </c>
      <c r="J182" s="5">
        <f t="shared" si="24"/>
        <v>19471.439999999999</v>
      </c>
      <c r="K182" s="5">
        <f t="shared" si="25"/>
        <v>243.39299999999997</v>
      </c>
      <c r="L182" s="26">
        <f t="shared" ca="1" si="26"/>
        <v>46007.395068518519</v>
      </c>
      <c r="M182"/>
    </row>
    <row r="183" spans="1:13" ht="15.75" customHeight="1" x14ac:dyDescent="0.3">
      <c r="A183" s="29" t="s">
        <v>48</v>
      </c>
      <c r="B183" s="29" t="s">
        <v>49</v>
      </c>
      <c r="C183" s="29" t="s">
        <v>13</v>
      </c>
      <c r="D183" s="29" t="s">
        <v>14</v>
      </c>
      <c r="E183" s="29">
        <v>1506.14</v>
      </c>
      <c r="F183" s="29">
        <v>13</v>
      </c>
      <c r="G183" s="29">
        <f t="shared" si="23"/>
        <v>0.5</v>
      </c>
      <c r="H183" s="30">
        <v>45412</v>
      </c>
      <c r="I183" s="29">
        <v>481.96</v>
      </c>
      <c r="J183" s="5">
        <f t="shared" si="24"/>
        <v>19579.82</v>
      </c>
      <c r="K183" s="5">
        <f t="shared" si="25"/>
        <v>225.92100000000002</v>
      </c>
      <c r="L183" s="26">
        <f t="shared" ca="1" si="26"/>
        <v>46007.395068518519</v>
      </c>
      <c r="M183"/>
    </row>
    <row r="184" spans="1:13" ht="15.75" customHeight="1" x14ac:dyDescent="0.3">
      <c r="A184" s="29" t="s">
        <v>72</v>
      </c>
      <c r="B184" s="29" t="s">
        <v>40</v>
      </c>
      <c r="C184" s="29" t="s">
        <v>13</v>
      </c>
      <c r="D184" s="29" t="s">
        <v>23</v>
      </c>
      <c r="E184" s="29">
        <v>1526.6</v>
      </c>
      <c r="F184" s="29">
        <v>13</v>
      </c>
      <c r="G184" s="29">
        <f t="shared" si="23"/>
        <v>0.5</v>
      </c>
      <c r="H184" s="30">
        <v>45512</v>
      </c>
      <c r="I184" s="29">
        <v>305.32</v>
      </c>
      <c r="J184" s="5">
        <f t="shared" si="24"/>
        <v>19845.8</v>
      </c>
      <c r="K184" s="5">
        <f t="shared" si="25"/>
        <v>228.98999999999998</v>
      </c>
      <c r="L184" s="26">
        <f t="shared" ca="1" si="26"/>
        <v>46007.395068518519</v>
      </c>
      <c r="M184"/>
    </row>
    <row r="185" spans="1:13" ht="15.75" customHeight="1" x14ac:dyDescent="0.3">
      <c r="A185" s="29" t="s">
        <v>51</v>
      </c>
      <c r="B185" s="29" t="s">
        <v>52</v>
      </c>
      <c r="C185" s="29" t="s">
        <v>22</v>
      </c>
      <c r="D185" s="29" t="s">
        <v>14</v>
      </c>
      <c r="E185" s="29">
        <v>1264.49</v>
      </c>
      <c r="F185" s="29">
        <v>16</v>
      </c>
      <c r="G185" s="29">
        <f t="shared" si="23"/>
        <v>0.5</v>
      </c>
      <c r="H185" s="30">
        <v>45549</v>
      </c>
      <c r="I185" s="29">
        <v>480.51</v>
      </c>
      <c r="J185" s="5">
        <f t="shared" si="24"/>
        <v>20231.84</v>
      </c>
      <c r="K185" s="5">
        <f t="shared" si="25"/>
        <v>189.67349999999999</v>
      </c>
      <c r="L185" s="26">
        <f t="shared" ca="1" si="26"/>
        <v>46007.395068518519</v>
      </c>
      <c r="M185"/>
    </row>
    <row r="186" spans="1:13" ht="15.75" customHeight="1" x14ac:dyDescent="0.3">
      <c r="A186" s="29" t="s">
        <v>77</v>
      </c>
      <c r="B186" s="29" t="s">
        <v>73</v>
      </c>
      <c r="C186" s="29" t="s">
        <v>36</v>
      </c>
      <c r="D186" s="29" t="s">
        <v>17</v>
      </c>
      <c r="E186" s="29">
        <v>1456.94</v>
      </c>
      <c r="F186" s="29">
        <v>14</v>
      </c>
      <c r="G186" s="29">
        <f t="shared" si="23"/>
        <v>0.5</v>
      </c>
      <c r="H186" s="30">
        <v>45745</v>
      </c>
      <c r="I186" s="29">
        <v>692.05</v>
      </c>
      <c r="J186" s="5">
        <f t="shared" si="24"/>
        <v>20397.16</v>
      </c>
      <c r="K186" s="5">
        <f t="shared" si="25"/>
        <v>218.541</v>
      </c>
      <c r="L186" s="26">
        <f t="shared" ca="1" si="26"/>
        <v>46007.395068518519</v>
      </c>
      <c r="M186"/>
    </row>
    <row r="187" spans="1:13" ht="15.75" customHeight="1" x14ac:dyDescent="0.3">
      <c r="A187" s="29" t="s">
        <v>46</v>
      </c>
      <c r="B187" s="29" t="s">
        <v>25</v>
      </c>
      <c r="C187" s="29" t="s">
        <v>20</v>
      </c>
      <c r="D187" s="29" t="s">
        <v>14</v>
      </c>
      <c r="E187" s="29">
        <v>1081.1400000000001</v>
      </c>
      <c r="F187" s="29">
        <v>19</v>
      </c>
      <c r="G187" s="29">
        <f t="shared" si="23"/>
        <v>0.5</v>
      </c>
      <c r="H187" s="30">
        <v>45577</v>
      </c>
      <c r="I187" s="29">
        <v>367.59</v>
      </c>
      <c r="J187" s="5">
        <f t="shared" si="24"/>
        <v>20541.660000000003</v>
      </c>
      <c r="K187" s="5">
        <f t="shared" si="25"/>
        <v>162.17100000000002</v>
      </c>
      <c r="L187" s="26">
        <f t="shared" ca="1" si="26"/>
        <v>46007.395068518519</v>
      </c>
      <c r="M187"/>
    </row>
    <row r="188" spans="1:13" ht="15.75" customHeight="1" x14ac:dyDescent="0.3">
      <c r="A188" s="29" t="s">
        <v>21</v>
      </c>
      <c r="B188" s="29" t="s">
        <v>45</v>
      </c>
      <c r="C188" s="29" t="s">
        <v>22</v>
      </c>
      <c r="D188" s="29" t="s">
        <v>23</v>
      </c>
      <c r="E188" s="29">
        <v>1502.93</v>
      </c>
      <c r="F188" s="29">
        <v>14</v>
      </c>
      <c r="G188" s="29">
        <f t="shared" si="23"/>
        <v>0.5</v>
      </c>
      <c r="H188" s="30">
        <v>45410</v>
      </c>
      <c r="I188" s="29">
        <v>300.58999999999997</v>
      </c>
      <c r="J188" s="5">
        <f t="shared" si="24"/>
        <v>21041.02</v>
      </c>
      <c r="K188" s="5">
        <f t="shared" si="25"/>
        <v>225.43950000000001</v>
      </c>
      <c r="L188" s="26">
        <f t="shared" ca="1" si="26"/>
        <v>46007.395068518519</v>
      </c>
      <c r="M188"/>
    </row>
    <row r="189" spans="1:13" ht="15.75" customHeight="1" x14ac:dyDescent="0.3">
      <c r="A189" s="29" t="s">
        <v>37</v>
      </c>
      <c r="B189" s="29" t="s">
        <v>52</v>
      </c>
      <c r="C189" s="29" t="s">
        <v>22</v>
      </c>
      <c r="D189" s="29" t="s">
        <v>23</v>
      </c>
      <c r="E189" s="29">
        <v>1173.1199999999999</v>
      </c>
      <c r="F189" s="29">
        <v>18</v>
      </c>
      <c r="G189" s="29">
        <f t="shared" si="23"/>
        <v>0.5</v>
      </c>
      <c r="H189" s="30">
        <v>45418</v>
      </c>
      <c r="I189" s="29">
        <v>293.27999999999997</v>
      </c>
      <c r="J189" s="5">
        <f t="shared" si="24"/>
        <v>21116.159999999996</v>
      </c>
      <c r="K189" s="5">
        <f t="shared" si="25"/>
        <v>175.96799999999999</v>
      </c>
      <c r="L189" s="26">
        <f t="shared" ca="1" si="26"/>
        <v>46007.395068518519</v>
      </c>
      <c r="M189"/>
    </row>
    <row r="190" spans="1:13" ht="15.75" customHeight="1" x14ac:dyDescent="0.3">
      <c r="A190" s="29" t="s">
        <v>67</v>
      </c>
      <c r="B190" s="29" t="s">
        <v>52</v>
      </c>
      <c r="C190" s="29" t="s">
        <v>20</v>
      </c>
      <c r="D190" s="29" t="s">
        <v>23</v>
      </c>
      <c r="E190" s="29">
        <v>1410.59</v>
      </c>
      <c r="F190" s="29">
        <v>15</v>
      </c>
      <c r="G190" s="29">
        <f t="shared" si="23"/>
        <v>0.5</v>
      </c>
      <c r="H190" s="30">
        <v>45615</v>
      </c>
      <c r="I190" s="29">
        <v>352.65</v>
      </c>
      <c r="J190" s="5">
        <f t="shared" si="24"/>
        <v>21158.85</v>
      </c>
      <c r="K190" s="5">
        <f t="shared" si="25"/>
        <v>211.58849999999998</v>
      </c>
      <c r="L190" s="26">
        <f t="shared" ca="1" si="26"/>
        <v>46007.395068518519</v>
      </c>
      <c r="M190"/>
    </row>
    <row r="191" spans="1:13" ht="15.75" customHeight="1" x14ac:dyDescent="0.3">
      <c r="A191" s="29" t="s">
        <v>69</v>
      </c>
      <c r="B191" s="29" t="s">
        <v>25</v>
      </c>
      <c r="C191" s="29" t="s">
        <v>13</v>
      </c>
      <c r="D191" s="29" t="s">
        <v>23</v>
      </c>
      <c r="E191" s="29">
        <v>1158.94</v>
      </c>
      <c r="F191" s="29">
        <v>19</v>
      </c>
      <c r="G191" s="29">
        <f t="shared" si="23"/>
        <v>0.5</v>
      </c>
      <c r="H191" s="30">
        <v>45553</v>
      </c>
      <c r="I191" s="29">
        <v>231.79</v>
      </c>
      <c r="J191" s="5">
        <f t="shared" si="24"/>
        <v>22019.86</v>
      </c>
      <c r="K191" s="5">
        <f t="shared" si="25"/>
        <v>173.84100000000001</v>
      </c>
      <c r="L191" s="26">
        <f t="shared" ca="1" si="26"/>
        <v>46007.395068518519</v>
      </c>
      <c r="M191"/>
    </row>
    <row r="192" spans="1:13" ht="15.75" customHeight="1" x14ac:dyDescent="0.3">
      <c r="A192" s="29" t="s">
        <v>32</v>
      </c>
      <c r="B192" s="29" t="s">
        <v>45</v>
      </c>
      <c r="C192" s="29" t="s">
        <v>13</v>
      </c>
      <c r="D192" s="29" t="s">
        <v>23</v>
      </c>
      <c r="E192" s="29">
        <v>1161.67</v>
      </c>
      <c r="F192" s="29">
        <v>19</v>
      </c>
      <c r="G192" s="29">
        <f t="shared" si="23"/>
        <v>0.5</v>
      </c>
      <c r="H192" s="30">
        <v>45647</v>
      </c>
      <c r="I192" s="29">
        <v>232.33</v>
      </c>
      <c r="J192" s="5">
        <f t="shared" si="24"/>
        <v>22071.730000000003</v>
      </c>
      <c r="K192" s="5">
        <f t="shared" si="25"/>
        <v>174.25050000000002</v>
      </c>
      <c r="L192" s="26">
        <f t="shared" ca="1" si="26"/>
        <v>46007.395068518519</v>
      </c>
      <c r="M192"/>
    </row>
    <row r="193" spans="1:13" ht="15.75" customHeight="1" x14ac:dyDescent="0.3">
      <c r="A193" s="29" t="s">
        <v>75</v>
      </c>
      <c r="B193" s="29" t="s">
        <v>61</v>
      </c>
      <c r="C193" s="29" t="s">
        <v>26</v>
      </c>
      <c r="D193" s="29" t="s">
        <v>17</v>
      </c>
      <c r="E193" s="29">
        <v>1171.18</v>
      </c>
      <c r="F193" s="29">
        <v>19</v>
      </c>
      <c r="G193" s="29">
        <f t="shared" si="23"/>
        <v>0.5</v>
      </c>
      <c r="H193" s="30">
        <v>45667</v>
      </c>
      <c r="I193" s="29">
        <v>556.30999999999995</v>
      </c>
      <c r="J193" s="5">
        <f t="shared" si="24"/>
        <v>22252.420000000002</v>
      </c>
      <c r="K193" s="5">
        <f t="shared" si="25"/>
        <v>175.67699999999999</v>
      </c>
      <c r="L193" s="26">
        <f t="shared" ca="1" si="26"/>
        <v>46007.395068518519</v>
      </c>
      <c r="M193"/>
    </row>
    <row r="194" spans="1:13" ht="15.75" customHeight="1" x14ac:dyDescent="0.3">
      <c r="A194" s="29" t="s">
        <v>59</v>
      </c>
      <c r="B194" s="29" t="s">
        <v>28</v>
      </c>
      <c r="C194" s="29" t="s">
        <v>20</v>
      </c>
      <c r="D194" s="29" t="s">
        <v>29</v>
      </c>
      <c r="E194" s="29">
        <v>1186.8499999999999</v>
      </c>
      <c r="F194" s="29">
        <v>19</v>
      </c>
      <c r="G194" s="29">
        <f t="shared" ref="G194:G201" si="27">$R$2</f>
        <v>0.5</v>
      </c>
      <c r="H194" s="30">
        <v>45451</v>
      </c>
      <c r="I194" s="29">
        <v>332.32</v>
      </c>
      <c r="J194" s="5">
        <f t="shared" ref="J194:J201" si="28">E194*F194</f>
        <v>22550.149999999998</v>
      </c>
      <c r="K194" s="5">
        <f t="shared" ref="K194:K201" si="29" xml:space="preserve"> (E194 - (E194 *$R$2)) * 0.3</f>
        <v>178.02749999999997</v>
      </c>
      <c r="L194" s="26">
        <f t="shared" ref="L194:L201" ca="1" si="30">NOW()</f>
        <v>46007.395068518519</v>
      </c>
      <c r="M194"/>
    </row>
    <row r="195" spans="1:13" ht="15.75" customHeight="1" x14ac:dyDescent="0.3">
      <c r="A195" s="29" t="s">
        <v>69</v>
      </c>
      <c r="B195" s="29" t="s">
        <v>12</v>
      </c>
      <c r="C195" s="29" t="s">
        <v>22</v>
      </c>
      <c r="D195" s="29" t="s">
        <v>23</v>
      </c>
      <c r="E195" s="29">
        <v>1335.87</v>
      </c>
      <c r="F195" s="29">
        <v>17</v>
      </c>
      <c r="G195" s="29">
        <f t="shared" si="27"/>
        <v>0.5</v>
      </c>
      <c r="H195" s="30">
        <v>45544</v>
      </c>
      <c r="I195" s="29">
        <v>333.97</v>
      </c>
      <c r="J195" s="5">
        <f t="shared" si="28"/>
        <v>22709.789999999997</v>
      </c>
      <c r="K195" s="5">
        <f t="shared" si="29"/>
        <v>200.38049999999998</v>
      </c>
      <c r="L195" s="26">
        <f t="shared" ca="1" si="30"/>
        <v>46007.395068518519</v>
      </c>
      <c r="M195"/>
    </row>
    <row r="196" spans="1:13" ht="15.75" customHeight="1" x14ac:dyDescent="0.3">
      <c r="A196" s="29" t="s">
        <v>30</v>
      </c>
      <c r="B196" s="29" t="s">
        <v>28</v>
      </c>
      <c r="C196" s="29" t="s">
        <v>36</v>
      </c>
      <c r="D196" s="29" t="s">
        <v>29</v>
      </c>
      <c r="E196" s="29">
        <v>1432.47</v>
      </c>
      <c r="F196" s="29">
        <v>16</v>
      </c>
      <c r="G196" s="29">
        <f t="shared" si="27"/>
        <v>0.5</v>
      </c>
      <c r="H196" s="30">
        <v>45640</v>
      </c>
      <c r="I196" s="29">
        <v>426.16</v>
      </c>
      <c r="J196" s="5">
        <f t="shared" si="28"/>
        <v>22919.52</v>
      </c>
      <c r="K196" s="5">
        <f t="shared" si="29"/>
        <v>214.87049999999999</v>
      </c>
      <c r="L196" s="26">
        <f t="shared" ca="1" si="30"/>
        <v>46007.395068518519</v>
      </c>
      <c r="M196"/>
    </row>
    <row r="197" spans="1:13" ht="15.75" customHeight="1" x14ac:dyDescent="0.3">
      <c r="A197" s="29" t="s">
        <v>74</v>
      </c>
      <c r="B197" s="29" t="s">
        <v>19</v>
      </c>
      <c r="C197" s="29" t="s">
        <v>36</v>
      </c>
      <c r="D197" s="29" t="s">
        <v>17</v>
      </c>
      <c r="E197" s="29">
        <v>1277.8499999999999</v>
      </c>
      <c r="F197" s="29">
        <v>18</v>
      </c>
      <c r="G197" s="29">
        <f t="shared" si="27"/>
        <v>0.5</v>
      </c>
      <c r="H197" s="30">
        <v>45613</v>
      </c>
      <c r="I197" s="29">
        <v>511.14</v>
      </c>
      <c r="J197" s="5">
        <f t="shared" si="28"/>
        <v>23001.3</v>
      </c>
      <c r="K197" s="5">
        <f t="shared" si="29"/>
        <v>191.67749999999998</v>
      </c>
      <c r="L197" s="26">
        <f t="shared" ca="1" si="30"/>
        <v>46007.395068518519</v>
      </c>
      <c r="M197"/>
    </row>
    <row r="198" spans="1:13" ht="15.75" customHeight="1" x14ac:dyDescent="0.3">
      <c r="A198" s="29" t="s">
        <v>15</v>
      </c>
      <c r="B198" s="29" t="s">
        <v>61</v>
      </c>
      <c r="C198" s="29" t="s">
        <v>13</v>
      </c>
      <c r="D198" s="29" t="s">
        <v>17</v>
      </c>
      <c r="E198" s="29">
        <v>1360.36</v>
      </c>
      <c r="F198" s="29">
        <v>17</v>
      </c>
      <c r="G198" s="29">
        <f t="shared" si="27"/>
        <v>0.5</v>
      </c>
      <c r="H198" s="30">
        <v>45473</v>
      </c>
      <c r="I198" s="29">
        <v>680.18</v>
      </c>
      <c r="J198" s="5">
        <f t="shared" si="28"/>
        <v>23126.12</v>
      </c>
      <c r="K198" s="5">
        <f t="shared" si="29"/>
        <v>204.05399999999997</v>
      </c>
      <c r="L198" s="26">
        <f t="shared" ca="1" si="30"/>
        <v>46007.395068518519</v>
      </c>
      <c r="M198"/>
    </row>
    <row r="199" spans="1:13" ht="15.75" customHeight="1" x14ac:dyDescent="0.3">
      <c r="A199" s="29" t="s">
        <v>24</v>
      </c>
      <c r="B199" s="29" t="s">
        <v>33</v>
      </c>
      <c r="C199" s="29" t="s">
        <v>20</v>
      </c>
      <c r="D199" s="29" t="s">
        <v>17</v>
      </c>
      <c r="E199" s="29">
        <v>1291.47</v>
      </c>
      <c r="F199" s="29">
        <v>18</v>
      </c>
      <c r="G199" s="29">
        <f t="shared" si="27"/>
        <v>0.5</v>
      </c>
      <c r="H199" s="30">
        <v>45526</v>
      </c>
      <c r="I199" s="29">
        <v>581.16</v>
      </c>
      <c r="J199" s="5">
        <f t="shared" si="28"/>
        <v>23246.46</v>
      </c>
      <c r="K199" s="5">
        <f t="shared" si="29"/>
        <v>193.72049999999999</v>
      </c>
      <c r="L199" s="26">
        <f t="shared" ca="1" si="30"/>
        <v>46007.395068518519</v>
      </c>
      <c r="M199"/>
    </row>
    <row r="200" spans="1:13" ht="15.75" customHeight="1" x14ac:dyDescent="0.3">
      <c r="A200" s="29" t="s">
        <v>27</v>
      </c>
      <c r="B200" s="29" t="s">
        <v>57</v>
      </c>
      <c r="C200" s="29" t="s">
        <v>13</v>
      </c>
      <c r="D200" s="29" t="s">
        <v>17</v>
      </c>
      <c r="E200" s="29">
        <v>1493.49</v>
      </c>
      <c r="F200" s="29">
        <v>18</v>
      </c>
      <c r="G200" s="29">
        <f t="shared" si="27"/>
        <v>0.5</v>
      </c>
      <c r="H200" s="30">
        <v>45734</v>
      </c>
      <c r="I200" s="29">
        <v>746.74</v>
      </c>
      <c r="J200" s="5">
        <f t="shared" si="28"/>
        <v>26882.82</v>
      </c>
      <c r="K200" s="5">
        <f t="shared" si="29"/>
        <v>224.02349999999998</v>
      </c>
      <c r="L200" s="26">
        <f t="shared" ca="1" si="30"/>
        <v>46007.395068518519</v>
      </c>
      <c r="M200"/>
    </row>
    <row r="201" spans="1:13" ht="15.75" customHeight="1" x14ac:dyDescent="0.3">
      <c r="A201" s="29" t="s">
        <v>74</v>
      </c>
      <c r="B201" s="29" t="s">
        <v>66</v>
      </c>
      <c r="C201" s="29" t="s">
        <v>13</v>
      </c>
      <c r="D201" s="29" t="s">
        <v>41</v>
      </c>
      <c r="E201" s="29">
        <v>1443.98</v>
      </c>
      <c r="F201" s="29">
        <v>19</v>
      </c>
      <c r="G201" s="29">
        <f t="shared" si="27"/>
        <v>0.5</v>
      </c>
      <c r="H201" s="30">
        <v>45547</v>
      </c>
      <c r="I201" s="29">
        <v>649.79</v>
      </c>
      <c r="J201" s="5">
        <f t="shared" si="28"/>
        <v>27435.62</v>
      </c>
      <c r="K201" s="5">
        <f t="shared" si="29"/>
        <v>216.59700000000001</v>
      </c>
      <c r="L201" s="26">
        <f t="shared" ca="1" si="30"/>
        <v>46007.395068518519</v>
      </c>
      <c r="M201"/>
    </row>
    <row r="202" spans="1:13" ht="15.75" customHeight="1" x14ac:dyDescent="0.3"/>
    <row r="203" spans="1:13" ht="15.75" customHeight="1" x14ac:dyDescent="0.3"/>
    <row r="204" spans="1:13" ht="15.75" customHeight="1" x14ac:dyDescent="0.3"/>
    <row r="205" spans="1:13" ht="15.75" customHeight="1" x14ac:dyDescent="0.3"/>
    <row r="206" spans="1:13" ht="15.75" customHeight="1" x14ac:dyDescent="0.3"/>
    <row r="207" spans="1:13" ht="15.75" customHeight="1" x14ac:dyDescent="0.3"/>
    <row r="208" spans="1:13" ht="15.75" customHeight="1" x14ac:dyDescent="0.3"/>
    <row r="209" s="13" customFormat="1" ht="15.75" customHeight="1" x14ac:dyDescent="0.3"/>
    <row r="210" s="13" customFormat="1" ht="15.75" customHeight="1" x14ac:dyDescent="0.3"/>
    <row r="211" s="13" customFormat="1" ht="15.75" customHeight="1" x14ac:dyDescent="0.3"/>
    <row r="212" s="13" customFormat="1" ht="15.75" customHeight="1" x14ac:dyDescent="0.3"/>
    <row r="213" s="13" customFormat="1" ht="15.75" customHeight="1" x14ac:dyDescent="0.3"/>
    <row r="214" s="13" customFormat="1" ht="15.75" customHeight="1" x14ac:dyDescent="0.3"/>
    <row r="215" s="13" customFormat="1" ht="15.75" customHeight="1" x14ac:dyDescent="0.3"/>
    <row r="216" s="13" customFormat="1" ht="15.75" customHeight="1" x14ac:dyDescent="0.3"/>
    <row r="217" s="13" customFormat="1" ht="15.75" customHeight="1" x14ac:dyDescent="0.3"/>
    <row r="218" s="13" customFormat="1" ht="15.75" customHeight="1" x14ac:dyDescent="0.3"/>
    <row r="219" s="13" customFormat="1" ht="15.75" customHeight="1" x14ac:dyDescent="0.3"/>
    <row r="220" s="13" customFormat="1" ht="15.75" customHeight="1" x14ac:dyDescent="0.3"/>
    <row r="221" s="13" customFormat="1" ht="15.75" customHeight="1" x14ac:dyDescent="0.3"/>
    <row r="222" s="13" customFormat="1" ht="15.75" customHeight="1" x14ac:dyDescent="0.3"/>
    <row r="223" s="13" customFormat="1" ht="15.75" customHeight="1" x14ac:dyDescent="0.3"/>
    <row r="224" s="13" customFormat="1" ht="15.75" customHeight="1" x14ac:dyDescent="0.3"/>
    <row r="225" s="13" customFormat="1" ht="15.75" customHeight="1" x14ac:dyDescent="0.3"/>
    <row r="226" s="13" customFormat="1" ht="15.75" customHeight="1" x14ac:dyDescent="0.3"/>
    <row r="227" s="13" customFormat="1" ht="15.75" customHeight="1" x14ac:dyDescent="0.3"/>
    <row r="228" s="13" customFormat="1" ht="15.75" customHeight="1" x14ac:dyDescent="0.3"/>
    <row r="229" s="13" customFormat="1" ht="15.75" customHeight="1" x14ac:dyDescent="0.3"/>
    <row r="230" s="13" customFormat="1" ht="15.75" customHeight="1" x14ac:dyDescent="0.3"/>
    <row r="231" s="13" customFormat="1" ht="15.75" customHeight="1" x14ac:dyDescent="0.3"/>
    <row r="232" s="13" customFormat="1" ht="15.75" customHeight="1" x14ac:dyDescent="0.3"/>
    <row r="233" s="13" customFormat="1" ht="15.75" customHeight="1" x14ac:dyDescent="0.3"/>
    <row r="234" s="13" customFormat="1" ht="15.75" customHeight="1" x14ac:dyDescent="0.3"/>
    <row r="235" s="13" customFormat="1" ht="15.75" customHeight="1" x14ac:dyDescent="0.3"/>
    <row r="236" s="13" customFormat="1" ht="15.75" customHeight="1" x14ac:dyDescent="0.3"/>
    <row r="237" s="13" customFormat="1" ht="15.75" customHeight="1" x14ac:dyDescent="0.3"/>
    <row r="238" s="13" customFormat="1" ht="15.75" customHeight="1" x14ac:dyDescent="0.3"/>
    <row r="239" s="13" customFormat="1" ht="15.75" customHeight="1" x14ac:dyDescent="0.3"/>
    <row r="240" s="13" customFormat="1" ht="15.75" customHeight="1" x14ac:dyDescent="0.3"/>
    <row r="241" s="13" customFormat="1" ht="15.75" customHeight="1" x14ac:dyDescent="0.3"/>
    <row r="242" s="13" customFormat="1" ht="15.75" customHeight="1" x14ac:dyDescent="0.3"/>
    <row r="243" s="13" customFormat="1" ht="15.75" customHeight="1" x14ac:dyDescent="0.3"/>
    <row r="244" s="13" customFormat="1" ht="15.75" customHeight="1" x14ac:dyDescent="0.3"/>
    <row r="245" s="13" customFormat="1" ht="15.75" customHeight="1" x14ac:dyDescent="0.3"/>
    <row r="246" s="13" customFormat="1" ht="15.75" customHeight="1" x14ac:dyDescent="0.3"/>
    <row r="247" s="13" customFormat="1" ht="15.75" customHeight="1" x14ac:dyDescent="0.3"/>
    <row r="248" s="13" customFormat="1" ht="15.75" customHeight="1" x14ac:dyDescent="0.3"/>
    <row r="249" s="13" customFormat="1" ht="15.75" customHeight="1" x14ac:dyDescent="0.3"/>
    <row r="250" s="13" customFormat="1" ht="15.75" customHeight="1" x14ac:dyDescent="0.3"/>
    <row r="251" s="13" customFormat="1" ht="15.75" customHeight="1" x14ac:dyDescent="0.3"/>
    <row r="252" s="13" customFormat="1" ht="15.75" customHeight="1" x14ac:dyDescent="0.3"/>
    <row r="253" s="13" customFormat="1" ht="15.75" customHeight="1" x14ac:dyDescent="0.3"/>
    <row r="254" s="13" customFormat="1" ht="15.75" customHeight="1" x14ac:dyDescent="0.3"/>
    <row r="255" s="13" customFormat="1" ht="15.75" customHeight="1" x14ac:dyDescent="0.3"/>
    <row r="256" s="13" customFormat="1" ht="15.75" customHeight="1" x14ac:dyDescent="0.3"/>
    <row r="257" s="13" customFormat="1" ht="15.75" customHeight="1" x14ac:dyDescent="0.3"/>
    <row r="258" s="13" customFormat="1" ht="15.75" customHeight="1" x14ac:dyDescent="0.3"/>
    <row r="259" s="13" customFormat="1" ht="15.75" customHeight="1" x14ac:dyDescent="0.3"/>
    <row r="260" s="13" customFormat="1" ht="15.75" customHeight="1" x14ac:dyDescent="0.3"/>
    <row r="261" s="13" customFormat="1" ht="15.75" customHeight="1" x14ac:dyDescent="0.3"/>
    <row r="262" s="13" customFormat="1" ht="15.75" customHeight="1" x14ac:dyDescent="0.3"/>
    <row r="263" s="13" customFormat="1" ht="15.75" customHeight="1" x14ac:dyDescent="0.3"/>
    <row r="264" s="13" customFormat="1" ht="15.75" customHeight="1" x14ac:dyDescent="0.3"/>
    <row r="265" s="13" customFormat="1" ht="15.75" customHeight="1" x14ac:dyDescent="0.3"/>
    <row r="266" s="13" customFormat="1" ht="15.75" customHeight="1" x14ac:dyDescent="0.3"/>
    <row r="267" s="13" customFormat="1" ht="15.75" customHeight="1" x14ac:dyDescent="0.3"/>
    <row r="268" s="13" customFormat="1" ht="15.75" customHeight="1" x14ac:dyDescent="0.3"/>
    <row r="269" s="13" customFormat="1" ht="15.75" customHeight="1" x14ac:dyDescent="0.3"/>
    <row r="270" s="13" customFormat="1" ht="15.75" customHeight="1" x14ac:dyDescent="0.3"/>
    <row r="271" s="13" customFormat="1" ht="15.75" customHeight="1" x14ac:dyDescent="0.3"/>
    <row r="272" s="13" customFormat="1" ht="15.75" customHeight="1" x14ac:dyDescent="0.3"/>
    <row r="273" s="13" customFormat="1" ht="15.75" customHeight="1" x14ac:dyDescent="0.3"/>
    <row r="274" s="13" customFormat="1" ht="15.75" customHeight="1" x14ac:dyDescent="0.3"/>
    <row r="275" s="13" customFormat="1" ht="15.75" customHeight="1" x14ac:dyDescent="0.3"/>
    <row r="276" s="13" customFormat="1" ht="15.75" customHeight="1" x14ac:dyDescent="0.3"/>
    <row r="277" s="13" customFormat="1" ht="15.75" customHeight="1" x14ac:dyDescent="0.3"/>
    <row r="278" s="13" customFormat="1" ht="15.75" customHeight="1" x14ac:dyDescent="0.3"/>
    <row r="279" s="13" customFormat="1" ht="15.75" customHeight="1" x14ac:dyDescent="0.3"/>
    <row r="280" s="13" customFormat="1" ht="15.75" customHeight="1" x14ac:dyDescent="0.3"/>
    <row r="281" s="13" customFormat="1" ht="15.75" customHeight="1" x14ac:dyDescent="0.3"/>
    <row r="282" s="13" customFormat="1" ht="15.75" customHeight="1" x14ac:dyDescent="0.3"/>
    <row r="283" s="13" customFormat="1" ht="15.75" customHeight="1" x14ac:dyDescent="0.3"/>
    <row r="284" s="13" customFormat="1" ht="15.75" customHeight="1" x14ac:dyDescent="0.3"/>
    <row r="285" s="13" customFormat="1" ht="15.75" customHeight="1" x14ac:dyDescent="0.3"/>
    <row r="286" s="13" customFormat="1" ht="15.75" customHeight="1" x14ac:dyDescent="0.3"/>
    <row r="287" s="13" customFormat="1" ht="15.75" customHeight="1" x14ac:dyDescent="0.3"/>
    <row r="288" s="13" customFormat="1" ht="15.75" customHeight="1" x14ac:dyDescent="0.3"/>
    <row r="289" s="13" customFormat="1" ht="15.75" customHeight="1" x14ac:dyDescent="0.3"/>
    <row r="290" s="13" customFormat="1" ht="15.75" customHeight="1" x14ac:dyDescent="0.3"/>
    <row r="291" s="13" customFormat="1" ht="15.75" customHeight="1" x14ac:dyDescent="0.3"/>
    <row r="292" s="13" customFormat="1" ht="15.75" customHeight="1" x14ac:dyDescent="0.3"/>
    <row r="293" s="13" customFormat="1" ht="15.75" customHeight="1" x14ac:dyDescent="0.3"/>
    <row r="294" s="13" customFormat="1" ht="15.75" customHeight="1" x14ac:dyDescent="0.3"/>
    <row r="295" s="13" customFormat="1" ht="15.75" customHeight="1" x14ac:dyDescent="0.3"/>
    <row r="296" s="13" customFormat="1" ht="15.75" customHeight="1" x14ac:dyDescent="0.3"/>
    <row r="297" s="13" customFormat="1" ht="15.75" customHeight="1" x14ac:dyDescent="0.3"/>
    <row r="298" s="13" customFormat="1" ht="15.75" customHeight="1" x14ac:dyDescent="0.3"/>
    <row r="299" s="13" customFormat="1" ht="15.75" customHeight="1" x14ac:dyDescent="0.3"/>
    <row r="300" s="13" customFormat="1" ht="15.75" customHeight="1" x14ac:dyDescent="0.3"/>
    <row r="301" s="13" customFormat="1" ht="15.75" customHeight="1" x14ac:dyDescent="0.3"/>
    <row r="302" s="13" customFormat="1" ht="15.75" customHeight="1" x14ac:dyDescent="0.3"/>
    <row r="303" s="13" customFormat="1" ht="15.75" customHeight="1" x14ac:dyDescent="0.3"/>
    <row r="304" s="13" customFormat="1" ht="15.75" customHeight="1" x14ac:dyDescent="0.3"/>
    <row r="305" s="13" customFormat="1" ht="15.75" customHeight="1" x14ac:dyDescent="0.3"/>
    <row r="306" s="13" customFormat="1" ht="15.75" customHeight="1" x14ac:dyDescent="0.3"/>
    <row r="307" s="13" customFormat="1" ht="15.75" customHeight="1" x14ac:dyDescent="0.3"/>
    <row r="308" s="13" customFormat="1" ht="15.75" customHeight="1" x14ac:dyDescent="0.3"/>
    <row r="309" s="13" customFormat="1" ht="15.75" customHeight="1" x14ac:dyDescent="0.3"/>
    <row r="310" s="13" customFormat="1" ht="15.75" customHeight="1" x14ac:dyDescent="0.3"/>
    <row r="311" s="13" customFormat="1" ht="15.75" customHeight="1" x14ac:dyDescent="0.3"/>
    <row r="312" s="13" customFormat="1" ht="15.75" customHeight="1" x14ac:dyDescent="0.3"/>
    <row r="313" s="13" customFormat="1" ht="15.75" customHeight="1" x14ac:dyDescent="0.3"/>
    <row r="314" s="13" customFormat="1" ht="15.75" customHeight="1" x14ac:dyDescent="0.3"/>
    <row r="315" s="13" customFormat="1" ht="15.75" customHeight="1" x14ac:dyDescent="0.3"/>
    <row r="316" s="13" customFormat="1" ht="15.75" customHeight="1" x14ac:dyDescent="0.3"/>
    <row r="317" s="13" customFormat="1" ht="15.75" customHeight="1" x14ac:dyDescent="0.3"/>
    <row r="318" s="13" customFormat="1" ht="15.75" customHeight="1" x14ac:dyDescent="0.3"/>
    <row r="319" s="13" customFormat="1" ht="15.75" customHeight="1" x14ac:dyDescent="0.3"/>
    <row r="320" s="13" customFormat="1" ht="15.75" customHeight="1" x14ac:dyDescent="0.3"/>
    <row r="321" s="13" customFormat="1" ht="15.75" customHeight="1" x14ac:dyDescent="0.3"/>
    <row r="322" s="13" customFormat="1" ht="15.75" customHeight="1" x14ac:dyDescent="0.3"/>
    <row r="323" s="13" customFormat="1" ht="15.75" customHeight="1" x14ac:dyDescent="0.3"/>
    <row r="324" s="13" customFormat="1" ht="15.75" customHeight="1" x14ac:dyDescent="0.3"/>
    <row r="325" s="13" customFormat="1" ht="15.75" customHeight="1" x14ac:dyDescent="0.3"/>
    <row r="326" s="13" customFormat="1" ht="15.75" customHeight="1" x14ac:dyDescent="0.3"/>
    <row r="327" s="13" customFormat="1" ht="15.75" customHeight="1" x14ac:dyDescent="0.3"/>
    <row r="328" s="13" customFormat="1" ht="15.75" customHeight="1" x14ac:dyDescent="0.3"/>
    <row r="329" s="13" customFormat="1" ht="15.75" customHeight="1" x14ac:dyDescent="0.3"/>
    <row r="330" s="13" customFormat="1" ht="15.75" customHeight="1" x14ac:dyDescent="0.3"/>
    <row r="331" s="13" customFormat="1" ht="15.75" customHeight="1" x14ac:dyDescent="0.3"/>
    <row r="332" s="13" customFormat="1" ht="15.75" customHeight="1" x14ac:dyDescent="0.3"/>
    <row r="333" s="13" customFormat="1" ht="15.75" customHeight="1" x14ac:dyDescent="0.3"/>
    <row r="334" s="13" customFormat="1" ht="15.75" customHeight="1" x14ac:dyDescent="0.3"/>
    <row r="335" s="13" customFormat="1" ht="15.75" customHeight="1" x14ac:dyDescent="0.3"/>
    <row r="336" s="13" customFormat="1" ht="15.75" customHeight="1" x14ac:dyDescent="0.3"/>
    <row r="337" s="13" customFormat="1" ht="15.75" customHeight="1" x14ac:dyDescent="0.3"/>
    <row r="338" s="13" customFormat="1" ht="15.75" customHeight="1" x14ac:dyDescent="0.3"/>
    <row r="339" s="13" customFormat="1" ht="15.75" customHeight="1" x14ac:dyDescent="0.3"/>
    <row r="340" s="13" customFormat="1" ht="15.75" customHeight="1" x14ac:dyDescent="0.3"/>
    <row r="341" s="13" customFormat="1" ht="15.75" customHeight="1" x14ac:dyDescent="0.3"/>
    <row r="342" s="13" customFormat="1" ht="15.75" customHeight="1" x14ac:dyDescent="0.3"/>
    <row r="343" s="13" customFormat="1" ht="15.75" customHeight="1" x14ac:dyDescent="0.3"/>
    <row r="344" s="13" customFormat="1" ht="15.75" customHeight="1" x14ac:dyDescent="0.3"/>
    <row r="345" s="13" customFormat="1" ht="15.75" customHeight="1" x14ac:dyDescent="0.3"/>
    <row r="346" s="13" customFormat="1" ht="15.75" customHeight="1" x14ac:dyDescent="0.3"/>
    <row r="347" s="13" customFormat="1" ht="15.75" customHeight="1" x14ac:dyDescent="0.3"/>
    <row r="348" s="13" customFormat="1" ht="15.75" customHeight="1" x14ac:dyDescent="0.3"/>
    <row r="349" s="13" customFormat="1" ht="15.75" customHeight="1" x14ac:dyDescent="0.3"/>
    <row r="350" s="13" customFormat="1" ht="15.75" customHeight="1" x14ac:dyDescent="0.3"/>
    <row r="351" s="13" customFormat="1" ht="15.75" customHeight="1" x14ac:dyDescent="0.3"/>
    <row r="352" s="13" customFormat="1" ht="15.75" customHeight="1" x14ac:dyDescent="0.3"/>
    <row r="353" s="13" customFormat="1" ht="15.75" customHeight="1" x14ac:dyDescent="0.3"/>
    <row r="354" s="13" customFormat="1" ht="15.75" customHeight="1" x14ac:dyDescent="0.3"/>
    <row r="355" s="13" customFormat="1" ht="15.75" customHeight="1" x14ac:dyDescent="0.3"/>
    <row r="356" s="13" customFormat="1" ht="15.75" customHeight="1" x14ac:dyDescent="0.3"/>
    <row r="357" s="13" customFormat="1" ht="15.75" customHeight="1" x14ac:dyDescent="0.3"/>
    <row r="358" s="13" customFormat="1" ht="15.75" customHeight="1" x14ac:dyDescent="0.3"/>
    <row r="359" s="13" customFormat="1" ht="15.75" customHeight="1" x14ac:dyDescent="0.3"/>
    <row r="360" s="13" customFormat="1" ht="15.75" customHeight="1" x14ac:dyDescent="0.3"/>
    <row r="361" s="13" customFormat="1" ht="15.75" customHeight="1" x14ac:dyDescent="0.3"/>
    <row r="362" s="13" customFormat="1" ht="15.75" customHeight="1" x14ac:dyDescent="0.3"/>
    <row r="363" s="13" customFormat="1" ht="15.75" customHeight="1" x14ac:dyDescent="0.3"/>
    <row r="364" s="13" customFormat="1" ht="15.75" customHeight="1" x14ac:dyDescent="0.3"/>
    <row r="365" s="13" customFormat="1" ht="15.75" customHeight="1" x14ac:dyDescent="0.3"/>
    <row r="366" s="13" customFormat="1" ht="15.75" customHeight="1" x14ac:dyDescent="0.3"/>
    <row r="367" s="13" customFormat="1" ht="15.75" customHeight="1" x14ac:dyDescent="0.3"/>
    <row r="368" s="13" customFormat="1" ht="15.75" customHeight="1" x14ac:dyDescent="0.3"/>
    <row r="369" s="13" customFormat="1" ht="15.75" customHeight="1" x14ac:dyDescent="0.3"/>
    <row r="370" s="13" customFormat="1" ht="15.75" customHeight="1" x14ac:dyDescent="0.3"/>
    <row r="371" s="13" customFormat="1" ht="15.75" customHeight="1" x14ac:dyDescent="0.3"/>
    <row r="372" s="13" customFormat="1" ht="15.75" customHeight="1" x14ac:dyDescent="0.3"/>
    <row r="373" s="13" customFormat="1" ht="15.75" customHeight="1" x14ac:dyDescent="0.3"/>
    <row r="374" s="13" customFormat="1" ht="15.75" customHeight="1" x14ac:dyDescent="0.3"/>
    <row r="375" s="13" customFormat="1" ht="15.75" customHeight="1" x14ac:dyDescent="0.3"/>
    <row r="376" s="13" customFormat="1" ht="15.75" customHeight="1" x14ac:dyDescent="0.3"/>
    <row r="377" s="13" customFormat="1" ht="15.75" customHeight="1" x14ac:dyDescent="0.3"/>
    <row r="378" s="13" customFormat="1" ht="15.75" customHeight="1" x14ac:dyDescent="0.3"/>
    <row r="379" s="13" customFormat="1" ht="15.75" customHeight="1" x14ac:dyDescent="0.3"/>
    <row r="380" s="13" customFormat="1" ht="15.75" customHeight="1" x14ac:dyDescent="0.3"/>
    <row r="381" s="13" customFormat="1" ht="15.75" customHeight="1" x14ac:dyDescent="0.3"/>
    <row r="382" s="13" customFormat="1" ht="15.75" customHeight="1" x14ac:dyDescent="0.3"/>
    <row r="383" s="13" customFormat="1" ht="15.75" customHeight="1" x14ac:dyDescent="0.3"/>
    <row r="384" s="13" customFormat="1" ht="15.75" customHeight="1" x14ac:dyDescent="0.3"/>
    <row r="385" s="13" customFormat="1" ht="15.75" customHeight="1" x14ac:dyDescent="0.3"/>
    <row r="386" s="13" customFormat="1" ht="15.75" customHeight="1" x14ac:dyDescent="0.3"/>
    <row r="387" s="13" customFormat="1" ht="15.75" customHeight="1" x14ac:dyDescent="0.3"/>
    <row r="388" s="13" customFormat="1" ht="15.75" customHeight="1" x14ac:dyDescent="0.3"/>
    <row r="389" s="13" customFormat="1" ht="15.75" customHeight="1" x14ac:dyDescent="0.3"/>
    <row r="390" s="13" customFormat="1" ht="15.75" customHeight="1" x14ac:dyDescent="0.3"/>
    <row r="391" s="13" customFormat="1" ht="15.75" customHeight="1" x14ac:dyDescent="0.3"/>
    <row r="392" s="13" customFormat="1" ht="15.75" customHeight="1" x14ac:dyDescent="0.3"/>
    <row r="393" s="13" customFormat="1" ht="15.75" customHeight="1" x14ac:dyDescent="0.3"/>
    <row r="394" s="13" customFormat="1" ht="15.75" customHeight="1" x14ac:dyDescent="0.3"/>
    <row r="395" s="13" customFormat="1" ht="15.75" customHeight="1" x14ac:dyDescent="0.3"/>
    <row r="396" s="13" customFormat="1" ht="15.75" customHeight="1" x14ac:dyDescent="0.3"/>
    <row r="397" s="13" customFormat="1" ht="15.75" customHeight="1" x14ac:dyDescent="0.3"/>
    <row r="398" s="13" customFormat="1" ht="15.75" customHeight="1" x14ac:dyDescent="0.3"/>
    <row r="399" s="13" customFormat="1" ht="15.75" customHeight="1" x14ac:dyDescent="0.3"/>
    <row r="400" s="13" customFormat="1" ht="15.75" customHeight="1" x14ac:dyDescent="0.3"/>
    <row r="401" s="13" customFormat="1" ht="15.75" customHeight="1" x14ac:dyDescent="0.3"/>
    <row r="402" s="13" customFormat="1" ht="15.75" customHeight="1" x14ac:dyDescent="0.3"/>
    <row r="403" s="13" customFormat="1" ht="15.75" customHeight="1" x14ac:dyDescent="0.3"/>
    <row r="404" s="13" customFormat="1" ht="15.75" customHeight="1" x14ac:dyDescent="0.3"/>
    <row r="405" s="13" customFormat="1" ht="15.75" customHeight="1" x14ac:dyDescent="0.3"/>
    <row r="406" s="13" customFormat="1" ht="15.75" customHeight="1" x14ac:dyDescent="0.3"/>
    <row r="407" s="13" customFormat="1" ht="15.75" customHeight="1" x14ac:dyDescent="0.3"/>
    <row r="408" s="13" customFormat="1" ht="15.75" customHeight="1" x14ac:dyDescent="0.3"/>
    <row r="409" s="13" customFormat="1" ht="15.75" customHeight="1" x14ac:dyDescent="0.3"/>
    <row r="410" s="13" customFormat="1" ht="15.75" customHeight="1" x14ac:dyDescent="0.3"/>
    <row r="411" s="13" customFormat="1" ht="15.75" customHeight="1" x14ac:dyDescent="0.3"/>
    <row r="412" s="13" customFormat="1" ht="15.75" customHeight="1" x14ac:dyDescent="0.3"/>
    <row r="413" s="13" customFormat="1" ht="15.75" customHeight="1" x14ac:dyDescent="0.3"/>
    <row r="414" s="13" customFormat="1" ht="15.75" customHeight="1" x14ac:dyDescent="0.3"/>
    <row r="415" s="13" customFormat="1" ht="15.75" customHeight="1" x14ac:dyDescent="0.3"/>
    <row r="416" s="13" customFormat="1" ht="15.75" customHeight="1" x14ac:dyDescent="0.3"/>
    <row r="417" s="13" customFormat="1" ht="15.75" customHeight="1" x14ac:dyDescent="0.3"/>
    <row r="418" s="13" customFormat="1" ht="15.75" customHeight="1" x14ac:dyDescent="0.3"/>
    <row r="419" s="13" customFormat="1" ht="15.75" customHeight="1" x14ac:dyDescent="0.3"/>
    <row r="420" s="13" customFormat="1" ht="15.75" customHeight="1" x14ac:dyDescent="0.3"/>
    <row r="421" s="13" customFormat="1" ht="15.75" customHeight="1" x14ac:dyDescent="0.3"/>
    <row r="422" s="13" customFormat="1" ht="15.75" customHeight="1" x14ac:dyDescent="0.3"/>
    <row r="423" s="13" customFormat="1" ht="15.75" customHeight="1" x14ac:dyDescent="0.3"/>
    <row r="424" s="13" customFormat="1" ht="15.75" customHeight="1" x14ac:dyDescent="0.3"/>
    <row r="425" s="13" customFormat="1" ht="15.75" customHeight="1" x14ac:dyDescent="0.3"/>
    <row r="426" s="13" customFormat="1" ht="15.75" customHeight="1" x14ac:dyDescent="0.3"/>
    <row r="427" s="13" customFormat="1" ht="15.75" customHeight="1" x14ac:dyDescent="0.3"/>
    <row r="428" s="13" customFormat="1" ht="15.75" customHeight="1" x14ac:dyDescent="0.3"/>
    <row r="429" s="13" customFormat="1" ht="15.75" customHeight="1" x14ac:dyDescent="0.3"/>
    <row r="430" s="13" customFormat="1" ht="15.75" customHeight="1" x14ac:dyDescent="0.3"/>
    <row r="431" s="13" customFormat="1" ht="15.75" customHeight="1" x14ac:dyDescent="0.3"/>
    <row r="432" s="13" customFormat="1" ht="15.75" customHeight="1" x14ac:dyDescent="0.3"/>
    <row r="433" s="13" customFormat="1" ht="15.75" customHeight="1" x14ac:dyDescent="0.3"/>
    <row r="434" s="13" customFormat="1" ht="15.75" customHeight="1" x14ac:dyDescent="0.3"/>
    <row r="435" s="13" customFormat="1" ht="15.75" customHeight="1" x14ac:dyDescent="0.3"/>
    <row r="436" s="13" customFormat="1" ht="15.75" customHeight="1" x14ac:dyDescent="0.3"/>
    <row r="437" s="13" customFormat="1" ht="15.75" customHeight="1" x14ac:dyDescent="0.3"/>
    <row r="438" s="13" customFormat="1" ht="15.75" customHeight="1" x14ac:dyDescent="0.3"/>
    <row r="439" s="13" customFormat="1" ht="15.75" customHeight="1" x14ac:dyDescent="0.3"/>
    <row r="440" s="13" customFormat="1" ht="15.75" customHeight="1" x14ac:dyDescent="0.3"/>
    <row r="441" s="13" customFormat="1" ht="15.75" customHeight="1" x14ac:dyDescent="0.3"/>
    <row r="442" s="13" customFormat="1" ht="15.75" customHeight="1" x14ac:dyDescent="0.3"/>
    <row r="443" s="13" customFormat="1" ht="15.75" customHeight="1" x14ac:dyDescent="0.3"/>
    <row r="444" s="13" customFormat="1" ht="15.75" customHeight="1" x14ac:dyDescent="0.3"/>
    <row r="445" s="13" customFormat="1" ht="15.75" customHeight="1" x14ac:dyDescent="0.3"/>
    <row r="446" s="13" customFormat="1" ht="15.75" customHeight="1" x14ac:dyDescent="0.3"/>
    <row r="447" s="13" customFormat="1" ht="15.75" customHeight="1" x14ac:dyDescent="0.3"/>
    <row r="448" s="13" customFormat="1" ht="15.75" customHeight="1" x14ac:dyDescent="0.3"/>
    <row r="449" s="13" customFormat="1" ht="15.75" customHeight="1" x14ac:dyDescent="0.3"/>
    <row r="450" s="13" customFormat="1" ht="15.75" customHeight="1" x14ac:dyDescent="0.3"/>
    <row r="451" s="13" customFormat="1" ht="15.75" customHeight="1" x14ac:dyDescent="0.3"/>
    <row r="452" s="13" customFormat="1" ht="15.75" customHeight="1" x14ac:dyDescent="0.3"/>
    <row r="453" s="13" customFormat="1" ht="15.75" customHeight="1" x14ac:dyDescent="0.3"/>
    <row r="454" s="13" customFormat="1" ht="15.75" customHeight="1" x14ac:dyDescent="0.3"/>
    <row r="455" s="13" customFormat="1" ht="15.75" customHeight="1" x14ac:dyDescent="0.3"/>
    <row r="456" s="13" customFormat="1" ht="15.75" customHeight="1" x14ac:dyDescent="0.3"/>
    <row r="457" s="13" customFormat="1" ht="15.75" customHeight="1" x14ac:dyDescent="0.3"/>
    <row r="458" s="13" customFormat="1" ht="15.75" customHeight="1" x14ac:dyDescent="0.3"/>
    <row r="459" s="13" customFormat="1" ht="15.75" customHeight="1" x14ac:dyDescent="0.3"/>
    <row r="460" s="13" customFormat="1" ht="15.75" customHeight="1" x14ac:dyDescent="0.3"/>
    <row r="461" s="13" customFormat="1" ht="15.75" customHeight="1" x14ac:dyDescent="0.3"/>
    <row r="462" s="13" customFormat="1" ht="15.75" customHeight="1" x14ac:dyDescent="0.3"/>
    <row r="463" s="13" customFormat="1" ht="15.75" customHeight="1" x14ac:dyDescent="0.3"/>
    <row r="464" s="13" customFormat="1" ht="15.75" customHeight="1" x14ac:dyDescent="0.3"/>
    <row r="465" s="13" customFormat="1" ht="15.75" customHeight="1" x14ac:dyDescent="0.3"/>
    <row r="466" s="13" customFormat="1" ht="15.75" customHeight="1" x14ac:dyDescent="0.3"/>
    <row r="467" s="13" customFormat="1" ht="15.75" customHeight="1" x14ac:dyDescent="0.3"/>
    <row r="468" s="13" customFormat="1" ht="15.75" customHeight="1" x14ac:dyDescent="0.3"/>
    <row r="469" s="13" customFormat="1" ht="15.75" customHeight="1" x14ac:dyDescent="0.3"/>
    <row r="470" s="13" customFormat="1" ht="15.75" customHeight="1" x14ac:dyDescent="0.3"/>
    <row r="471" s="13" customFormat="1" ht="15.75" customHeight="1" x14ac:dyDescent="0.3"/>
    <row r="472" s="13" customFormat="1" ht="15.75" customHeight="1" x14ac:dyDescent="0.3"/>
    <row r="473" s="13" customFormat="1" ht="15.75" customHeight="1" x14ac:dyDescent="0.3"/>
    <row r="474" s="13" customFormat="1" ht="15.75" customHeight="1" x14ac:dyDescent="0.3"/>
    <row r="475" s="13" customFormat="1" ht="15.75" customHeight="1" x14ac:dyDescent="0.3"/>
    <row r="476" s="13" customFormat="1" ht="15.75" customHeight="1" x14ac:dyDescent="0.3"/>
    <row r="477" s="13" customFormat="1" ht="15.75" customHeight="1" x14ac:dyDescent="0.3"/>
    <row r="478" s="13" customFormat="1" ht="15.75" customHeight="1" x14ac:dyDescent="0.3"/>
    <row r="479" s="13" customFormat="1" ht="15.75" customHeight="1" x14ac:dyDescent="0.3"/>
    <row r="480" s="13" customFormat="1" ht="15.75" customHeight="1" x14ac:dyDescent="0.3"/>
    <row r="481" s="13" customFormat="1" ht="15.75" customHeight="1" x14ac:dyDescent="0.3"/>
    <row r="482" s="13" customFormat="1" ht="15.75" customHeight="1" x14ac:dyDescent="0.3"/>
    <row r="483" s="13" customFormat="1" ht="15.75" customHeight="1" x14ac:dyDescent="0.3"/>
    <row r="484" s="13" customFormat="1" ht="15.75" customHeight="1" x14ac:dyDescent="0.3"/>
    <row r="485" s="13" customFormat="1" ht="15.75" customHeight="1" x14ac:dyDescent="0.3"/>
    <row r="486" s="13" customFormat="1" ht="15.75" customHeight="1" x14ac:dyDescent="0.3"/>
    <row r="487" s="13" customFormat="1" ht="15.75" customHeight="1" x14ac:dyDescent="0.3"/>
    <row r="488" s="13" customFormat="1" ht="15.75" customHeight="1" x14ac:dyDescent="0.3"/>
    <row r="489" s="13" customFormat="1" ht="15.75" customHeight="1" x14ac:dyDescent="0.3"/>
    <row r="490" s="13" customFormat="1" ht="15.75" customHeight="1" x14ac:dyDescent="0.3"/>
    <row r="491" s="13" customFormat="1" ht="15.75" customHeight="1" x14ac:dyDescent="0.3"/>
    <row r="492" s="13" customFormat="1" ht="15.75" customHeight="1" x14ac:dyDescent="0.3"/>
    <row r="493" s="13" customFormat="1" ht="15.75" customHeight="1" x14ac:dyDescent="0.3"/>
    <row r="494" s="13" customFormat="1" ht="15.75" customHeight="1" x14ac:dyDescent="0.3"/>
    <row r="495" s="13" customFormat="1" ht="15.75" customHeight="1" x14ac:dyDescent="0.3"/>
    <row r="496" s="13" customFormat="1" ht="15.75" customHeight="1" x14ac:dyDescent="0.3"/>
    <row r="497" s="13" customFormat="1" ht="15.75" customHeight="1" x14ac:dyDescent="0.3"/>
    <row r="498" s="13" customFormat="1" ht="15.75" customHeight="1" x14ac:dyDescent="0.3"/>
    <row r="499" s="13" customFormat="1" ht="15.75" customHeight="1" x14ac:dyDescent="0.3"/>
    <row r="500" s="13" customFormat="1" ht="15.75" customHeight="1" x14ac:dyDescent="0.3"/>
    <row r="501" s="13" customFormat="1" ht="15.75" customHeight="1" x14ac:dyDescent="0.3"/>
    <row r="502" s="13" customFormat="1" ht="15.75" customHeight="1" x14ac:dyDescent="0.3"/>
    <row r="503" s="13" customFormat="1" ht="15.75" customHeight="1" x14ac:dyDescent="0.3"/>
    <row r="504" s="13" customFormat="1" ht="15.75" customHeight="1" x14ac:dyDescent="0.3"/>
    <row r="505" s="13" customFormat="1" ht="15.75" customHeight="1" x14ac:dyDescent="0.3"/>
    <row r="506" s="13" customFormat="1" ht="15.75" customHeight="1" x14ac:dyDescent="0.3"/>
    <row r="507" s="13" customFormat="1" ht="15.75" customHeight="1" x14ac:dyDescent="0.3"/>
    <row r="508" s="13" customFormat="1" ht="15.75" customHeight="1" x14ac:dyDescent="0.3"/>
    <row r="509" s="13" customFormat="1" ht="15.75" customHeight="1" x14ac:dyDescent="0.3"/>
    <row r="510" s="13" customFormat="1" ht="15.75" customHeight="1" x14ac:dyDescent="0.3"/>
    <row r="511" s="13" customFormat="1" ht="15.75" customHeight="1" x14ac:dyDescent="0.3"/>
    <row r="512" s="13" customFormat="1" ht="15.75" customHeight="1" x14ac:dyDescent="0.3"/>
    <row r="513" s="13" customFormat="1" ht="15.75" customHeight="1" x14ac:dyDescent="0.3"/>
    <row r="514" s="13" customFormat="1" ht="15.75" customHeight="1" x14ac:dyDescent="0.3"/>
    <row r="515" s="13" customFormat="1" ht="15.75" customHeight="1" x14ac:dyDescent="0.3"/>
    <row r="516" s="13" customFormat="1" ht="15.75" customHeight="1" x14ac:dyDescent="0.3"/>
    <row r="517" s="13" customFormat="1" ht="15.75" customHeight="1" x14ac:dyDescent="0.3"/>
    <row r="518" s="13" customFormat="1" ht="15.75" customHeight="1" x14ac:dyDescent="0.3"/>
    <row r="519" s="13" customFormat="1" ht="15.75" customHeight="1" x14ac:dyDescent="0.3"/>
    <row r="520" s="13" customFormat="1" ht="15.75" customHeight="1" x14ac:dyDescent="0.3"/>
    <row r="521" s="13" customFormat="1" ht="15.75" customHeight="1" x14ac:dyDescent="0.3"/>
    <row r="522" s="13" customFormat="1" ht="15.75" customHeight="1" x14ac:dyDescent="0.3"/>
    <row r="523" s="13" customFormat="1" ht="15.75" customHeight="1" x14ac:dyDescent="0.3"/>
    <row r="524" s="13" customFormat="1" ht="15.75" customHeight="1" x14ac:dyDescent="0.3"/>
    <row r="525" s="13" customFormat="1" ht="15.75" customHeight="1" x14ac:dyDescent="0.3"/>
    <row r="526" s="13" customFormat="1" ht="15.75" customHeight="1" x14ac:dyDescent="0.3"/>
    <row r="527" s="13" customFormat="1" ht="15.75" customHeight="1" x14ac:dyDescent="0.3"/>
    <row r="528" s="13" customFormat="1" ht="15.75" customHeight="1" x14ac:dyDescent="0.3"/>
    <row r="529" s="13" customFormat="1" ht="15.75" customHeight="1" x14ac:dyDescent="0.3"/>
    <row r="530" s="13" customFormat="1" ht="15.75" customHeight="1" x14ac:dyDescent="0.3"/>
    <row r="531" s="13" customFormat="1" ht="15.75" customHeight="1" x14ac:dyDescent="0.3"/>
    <row r="532" s="13" customFormat="1" ht="15.75" customHeight="1" x14ac:dyDescent="0.3"/>
    <row r="533" s="13" customFormat="1" ht="15.75" customHeight="1" x14ac:dyDescent="0.3"/>
    <row r="534" s="13" customFormat="1" ht="15.75" customHeight="1" x14ac:dyDescent="0.3"/>
    <row r="535" s="13" customFormat="1" ht="15.75" customHeight="1" x14ac:dyDescent="0.3"/>
    <row r="536" s="13" customFormat="1" ht="15.75" customHeight="1" x14ac:dyDescent="0.3"/>
    <row r="537" s="13" customFormat="1" ht="15.75" customHeight="1" x14ac:dyDescent="0.3"/>
    <row r="538" s="13" customFormat="1" ht="15.75" customHeight="1" x14ac:dyDescent="0.3"/>
    <row r="539" s="13" customFormat="1" ht="15.75" customHeight="1" x14ac:dyDescent="0.3"/>
    <row r="540" s="13" customFormat="1" ht="15.75" customHeight="1" x14ac:dyDescent="0.3"/>
    <row r="541" s="13" customFormat="1" ht="15.75" customHeight="1" x14ac:dyDescent="0.3"/>
    <row r="542" s="13" customFormat="1" ht="15.75" customHeight="1" x14ac:dyDescent="0.3"/>
    <row r="543" s="13" customFormat="1" ht="15.75" customHeight="1" x14ac:dyDescent="0.3"/>
    <row r="544" s="13" customFormat="1" ht="15.75" customHeight="1" x14ac:dyDescent="0.3"/>
    <row r="545" s="13" customFormat="1" ht="15.75" customHeight="1" x14ac:dyDescent="0.3"/>
    <row r="546" s="13" customFormat="1" ht="15.75" customHeight="1" x14ac:dyDescent="0.3"/>
    <row r="547" s="13" customFormat="1" ht="15.75" customHeight="1" x14ac:dyDescent="0.3"/>
    <row r="548" s="13" customFormat="1" ht="15.75" customHeight="1" x14ac:dyDescent="0.3"/>
    <row r="549" s="13" customFormat="1" ht="15.75" customHeight="1" x14ac:dyDescent="0.3"/>
    <row r="550" s="13" customFormat="1" ht="15.75" customHeight="1" x14ac:dyDescent="0.3"/>
    <row r="551" s="13" customFormat="1" ht="15.75" customHeight="1" x14ac:dyDescent="0.3"/>
    <row r="552" s="13" customFormat="1" ht="15.75" customHeight="1" x14ac:dyDescent="0.3"/>
    <row r="553" s="13" customFormat="1" ht="15.75" customHeight="1" x14ac:dyDescent="0.3"/>
    <row r="554" s="13" customFormat="1" ht="15.75" customHeight="1" x14ac:dyDescent="0.3"/>
    <row r="555" s="13" customFormat="1" ht="15.75" customHeight="1" x14ac:dyDescent="0.3"/>
    <row r="556" s="13" customFormat="1" ht="15.75" customHeight="1" x14ac:dyDescent="0.3"/>
    <row r="557" s="13" customFormat="1" ht="15.75" customHeight="1" x14ac:dyDescent="0.3"/>
    <row r="558" s="13" customFormat="1" ht="15.75" customHeight="1" x14ac:dyDescent="0.3"/>
    <row r="559" s="13" customFormat="1" ht="15.75" customHeight="1" x14ac:dyDescent="0.3"/>
    <row r="560" s="13" customFormat="1" ht="15.75" customHeight="1" x14ac:dyDescent="0.3"/>
    <row r="561" s="13" customFormat="1" ht="15.75" customHeight="1" x14ac:dyDescent="0.3"/>
    <row r="562" s="13" customFormat="1" ht="15.75" customHeight="1" x14ac:dyDescent="0.3"/>
    <row r="563" s="13" customFormat="1" ht="15.75" customHeight="1" x14ac:dyDescent="0.3"/>
    <row r="564" s="13" customFormat="1" ht="15.75" customHeight="1" x14ac:dyDescent="0.3"/>
    <row r="565" s="13" customFormat="1" ht="15.75" customHeight="1" x14ac:dyDescent="0.3"/>
    <row r="566" s="13" customFormat="1" ht="15.75" customHeight="1" x14ac:dyDescent="0.3"/>
    <row r="567" s="13" customFormat="1" ht="15.75" customHeight="1" x14ac:dyDescent="0.3"/>
    <row r="568" s="13" customFormat="1" ht="15.75" customHeight="1" x14ac:dyDescent="0.3"/>
    <row r="569" s="13" customFormat="1" ht="15.75" customHeight="1" x14ac:dyDescent="0.3"/>
    <row r="570" s="13" customFormat="1" ht="15.75" customHeight="1" x14ac:dyDescent="0.3"/>
    <row r="571" s="13" customFormat="1" ht="15.75" customHeight="1" x14ac:dyDescent="0.3"/>
    <row r="572" s="13" customFormat="1" ht="15.75" customHeight="1" x14ac:dyDescent="0.3"/>
    <row r="573" s="13" customFormat="1" ht="15.75" customHeight="1" x14ac:dyDescent="0.3"/>
    <row r="574" s="13" customFormat="1" ht="15.75" customHeight="1" x14ac:dyDescent="0.3"/>
    <row r="575" s="13" customFormat="1" ht="15.75" customHeight="1" x14ac:dyDescent="0.3"/>
    <row r="576" s="13" customFormat="1" ht="15.75" customHeight="1" x14ac:dyDescent="0.3"/>
    <row r="577" s="13" customFormat="1" ht="15.75" customHeight="1" x14ac:dyDescent="0.3"/>
    <row r="578" s="13" customFormat="1" ht="15.75" customHeight="1" x14ac:dyDescent="0.3"/>
    <row r="579" s="13" customFormat="1" ht="15.75" customHeight="1" x14ac:dyDescent="0.3"/>
    <row r="580" s="13" customFormat="1" ht="15.75" customHeight="1" x14ac:dyDescent="0.3"/>
    <row r="581" s="13" customFormat="1" ht="15.75" customHeight="1" x14ac:dyDescent="0.3"/>
    <row r="582" s="13" customFormat="1" ht="15.75" customHeight="1" x14ac:dyDescent="0.3"/>
    <row r="583" s="13" customFormat="1" ht="15.75" customHeight="1" x14ac:dyDescent="0.3"/>
    <row r="584" s="13" customFormat="1" ht="15.75" customHeight="1" x14ac:dyDescent="0.3"/>
    <row r="585" s="13" customFormat="1" ht="15.75" customHeight="1" x14ac:dyDescent="0.3"/>
    <row r="586" s="13" customFormat="1" ht="15.75" customHeight="1" x14ac:dyDescent="0.3"/>
    <row r="587" s="13" customFormat="1" ht="15.75" customHeight="1" x14ac:dyDescent="0.3"/>
    <row r="588" s="13" customFormat="1" ht="15.75" customHeight="1" x14ac:dyDescent="0.3"/>
    <row r="589" s="13" customFormat="1" ht="15.75" customHeight="1" x14ac:dyDescent="0.3"/>
    <row r="590" s="13" customFormat="1" ht="15.75" customHeight="1" x14ac:dyDescent="0.3"/>
    <row r="591" s="13" customFormat="1" ht="15.75" customHeight="1" x14ac:dyDescent="0.3"/>
    <row r="592" s="13" customFormat="1" ht="15.75" customHeight="1" x14ac:dyDescent="0.3"/>
    <row r="593" s="13" customFormat="1" ht="15.75" customHeight="1" x14ac:dyDescent="0.3"/>
    <row r="594" s="13" customFormat="1" ht="15.75" customHeight="1" x14ac:dyDescent="0.3"/>
    <row r="595" s="13" customFormat="1" ht="15.75" customHeight="1" x14ac:dyDescent="0.3"/>
    <row r="596" s="13" customFormat="1" ht="15.75" customHeight="1" x14ac:dyDescent="0.3"/>
    <row r="597" s="13" customFormat="1" ht="15.75" customHeight="1" x14ac:dyDescent="0.3"/>
    <row r="598" s="13" customFormat="1" ht="15.75" customHeight="1" x14ac:dyDescent="0.3"/>
    <row r="599" s="13" customFormat="1" ht="15.75" customHeight="1" x14ac:dyDescent="0.3"/>
    <row r="600" s="13" customFormat="1" ht="15.75" customHeight="1" x14ac:dyDescent="0.3"/>
    <row r="601" s="13" customFormat="1" ht="15.75" customHeight="1" x14ac:dyDescent="0.3"/>
    <row r="602" s="13" customFormat="1" ht="15.75" customHeight="1" x14ac:dyDescent="0.3"/>
    <row r="603" s="13" customFormat="1" ht="15.75" customHeight="1" x14ac:dyDescent="0.3"/>
    <row r="604" s="13" customFormat="1" ht="15.75" customHeight="1" x14ac:dyDescent="0.3"/>
    <row r="605" s="13" customFormat="1" ht="15.75" customHeight="1" x14ac:dyDescent="0.3"/>
    <row r="606" s="13" customFormat="1" ht="15.75" customHeight="1" x14ac:dyDescent="0.3"/>
    <row r="607" s="13" customFormat="1" ht="15.75" customHeight="1" x14ac:dyDescent="0.3"/>
    <row r="608" s="13" customFormat="1" ht="15.75" customHeight="1" x14ac:dyDescent="0.3"/>
    <row r="609" s="13" customFormat="1" ht="15.75" customHeight="1" x14ac:dyDescent="0.3"/>
    <row r="610" s="13" customFormat="1" ht="15.75" customHeight="1" x14ac:dyDescent="0.3"/>
    <row r="611" s="13" customFormat="1" ht="15.75" customHeight="1" x14ac:dyDescent="0.3"/>
    <row r="612" s="13" customFormat="1" ht="15.75" customHeight="1" x14ac:dyDescent="0.3"/>
    <row r="613" s="13" customFormat="1" ht="15.75" customHeight="1" x14ac:dyDescent="0.3"/>
    <row r="614" s="13" customFormat="1" ht="15.75" customHeight="1" x14ac:dyDescent="0.3"/>
    <row r="615" s="13" customFormat="1" ht="15.75" customHeight="1" x14ac:dyDescent="0.3"/>
    <row r="616" s="13" customFormat="1" ht="15.75" customHeight="1" x14ac:dyDescent="0.3"/>
    <row r="617" s="13" customFormat="1" ht="15.75" customHeight="1" x14ac:dyDescent="0.3"/>
    <row r="618" s="13" customFormat="1" ht="15.75" customHeight="1" x14ac:dyDescent="0.3"/>
    <row r="619" s="13" customFormat="1" ht="15.75" customHeight="1" x14ac:dyDescent="0.3"/>
    <row r="620" s="13" customFormat="1" ht="15.75" customHeight="1" x14ac:dyDescent="0.3"/>
    <row r="621" s="13" customFormat="1" ht="15.75" customHeight="1" x14ac:dyDescent="0.3"/>
    <row r="622" s="13" customFormat="1" ht="15.75" customHeight="1" x14ac:dyDescent="0.3"/>
    <row r="623" s="13" customFormat="1" ht="15.75" customHeight="1" x14ac:dyDescent="0.3"/>
    <row r="624" s="13" customFormat="1" ht="15.75" customHeight="1" x14ac:dyDescent="0.3"/>
    <row r="625" s="13" customFormat="1" ht="15.75" customHeight="1" x14ac:dyDescent="0.3"/>
    <row r="626" s="13" customFormat="1" ht="15.75" customHeight="1" x14ac:dyDescent="0.3"/>
    <row r="627" s="13" customFormat="1" ht="15.75" customHeight="1" x14ac:dyDescent="0.3"/>
    <row r="628" s="13" customFormat="1" ht="15.75" customHeight="1" x14ac:dyDescent="0.3"/>
    <row r="629" s="13" customFormat="1" ht="15.75" customHeight="1" x14ac:dyDescent="0.3"/>
    <row r="630" s="13" customFormat="1" ht="15.75" customHeight="1" x14ac:dyDescent="0.3"/>
    <row r="631" s="13" customFormat="1" ht="15.75" customHeight="1" x14ac:dyDescent="0.3"/>
    <row r="632" s="13" customFormat="1" ht="15.75" customHeight="1" x14ac:dyDescent="0.3"/>
    <row r="633" s="13" customFormat="1" ht="15.75" customHeight="1" x14ac:dyDescent="0.3"/>
    <row r="634" s="13" customFormat="1" ht="15.75" customHeight="1" x14ac:dyDescent="0.3"/>
    <row r="635" s="13" customFormat="1" ht="15.75" customHeight="1" x14ac:dyDescent="0.3"/>
    <row r="636" s="13" customFormat="1" ht="15.75" customHeight="1" x14ac:dyDescent="0.3"/>
    <row r="637" s="13" customFormat="1" ht="15.75" customHeight="1" x14ac:dyDescent="0.3"/>
    <row r="638" s="13" customFormat="1" ht="15.75" customHeight="1" x14ac:dyDescent="0.3"/>
    <row r="639" s="13" customFormat="1" ht="15.75" customHeight="1" x14ac:dyDescent="0.3"/>
    <row r="640" s="13" customFormat="1" ht="15.75" customHeight="1" x14ac:dyDescent="0.3"/>
    <row r="641" s="13" customFormat="1" ht="15.75" customHeight="1" x14ac:dyDescent="0.3"/>
    <row r="642" s="13" customFormat="1" ht="15.75" customHeight="1" x14ac:dyDescent="0.3"/>
    <row r="643" s="13" customFormat="1" ht="15.75" customHeight="1" x14ac:dyDescent="0.3"/>
    <row r="644" s="13" customFormat="1" ht="15.75" customHeight="1" x14ac:dyDescent="0.3"/>
    <row r="645" s="13" customFormat="1" ht="15.75" customHeight="1" x14ac:dyDescent="0.3"/>
    <row r="646" s="13" customFormat="1" ht="15.75" customHeight="1" x14ac:dyDescent="0.3"/>
    <row r="647" s="13" customFormat="1" ht="15.75" customHeight="1" x14ac:dyDescent="0.3"/>
    <row r="648" s="13" customFormat="1" ht="15.75" customHeight="1" x14ac:dyDescent="0.3"/>
    <row r="649" s="13" customFormat="1" ht="15.75" customHeight="1" x14ac:dyDescent="0.3"/>
    <row r="650" s="13" customFormat="1" ht="15.75" customHeight="1" x14ac:dyDescent="0.3"/>
    <row r="651" s="13" customFormat="1" ht="15.75" customHeight="1" x14ac:dyDescent="0.3"/>
    <row r="652" s="13" customFormat="1" ht="15.75" customHeight="1" x14ac:dyDescent="0.3"/>
    <row r="653" s="13" customFormat="1" ht="15.75" customHeight="1" x14ac:dyDescent="0.3"/>
    <row r="654" s="13" customFormat="1" ht="15.75" customHeight="1" x14ac:dyDescent="0.3"/>
    <row r="655" s="13" customFormat="1" ht="15.75" customHeight="1" x14ac:dyDescent="0.3"/>
    <row r="656" s="13" customFormat="1" ht="15.75" customHeight="1" x14ac:dyDescent="0.3"/>
    <row r="657" s="13" customFormat="1" ht="15.75" customHeight="1" x14ac:dyDescent="0.3"/>
    <row r="658" s="13" customFormat="1" ht="15.75" customHeight="1" x14ac:dyDescent="0.3"/>
    <row r="659" s="13" customFormat="1" ht="15.75" customHeight="1" x14ac:dyDescent="0.3"/>
    <row r="660" s="13" customFormat="1" ht="15.75" customHeight="1" x14ac:dyDescent="0.3"/>
    <row r="661" s="13" customFormat="1" ht="15.75" customHeight="1" x14ac:dyDescent="0.3"/>
    <row r="662" s="13" customFormat="1" ht="15.75" customHeight="1" x14ac:dyDescent="0.3"/>
    <row r="663" s="13" customFormat="1" ht="15.75" customHeight="1" x14ac:dyDescent="0.3"/>
    <row r="664" s="13" customFormat="1" ht="15.75" customHeight="1" x14ac:dyDescent="0.3"/>
    <row r="665" s="13" customFormat="1" ht="15.75" customHeight="1" x14ac:dyDescent="0.3"/>
    <row r="666" s="13" customFormat="1" ht="15.75" customHeight="1" x14ac:dyDescent="0.3"/>
    <row r="667" s="13" customFormat="1" ht="15.75" customHeight="1" x14ac:dyDescent="0.3"/>
    <row r="668" s="13" customFormat="1" ht="15.75" customHeight="1" x14ac:dyDescent="0.3"/>
    <row r="669" s="13" customFormat="1" ht="15.75" customHeight="1" x14ac:dyDescent="0.3"/>
    <row r="670" s="13" customFormat="1" ht="15.75" customHeight="1" x14ac:dyDescent="0.3"/>
    <row r="671" s="13" customFormat="1" ht="15.75" customHeight="1" x14ac:dyDescent="0.3"/>
    <row r="672" s="13" customFormat="1" ht="15.75" customHeight="1" x14ac:dyDescent="0.3"/>
    <row r="673" s="13" customFormat="1" ht="15.75" customHeight="1" x14ac:dyDescent="0.3"/>
    <row r="674" s="13" customFormat="1" ht="15.75" customHeight="1" x14ac:dyDescent="0.3"/>
    <row r="675" s="13" customFormat="1" ht="15.75" customHeight="1" x14ac:dyDescent="0.3"/>
    <row r="676" s="13" customFormat="1" ht="15.75" customHeight="1" x14ac:dyDescent="0.3"/>
    <row r="677" s="13" customFormat="1" ht="15.75" customHeight="1" x14ac:dyDescent="0.3"/>
    <row r="678" s="13" customFormat="1" ht="15.75" customHeight="1" x14ac:dyDescent="0.3"/>
    <row r="679" s="13" customFormat="1" ht="15.75" customHeight="1" x14ac:dyDescent="0.3"/>
    <row r="680" s="13" customFormat="1" ht="15.75" customHeight="1" x14ac:dyDescent="0.3"/>
    <row r="681" s="13" customFormat="1" ht="15.75" customHeight="1" x14ac:dyDescent="0.3"/>
    <row r="682" s="13" customFormat="1" ht="15.75" customHeight="1" x14ac:dyDescent="0.3"/>
    <row r="683" s="13" customFormat="1" ht="15.75" customHeight="1" x14ac:dyDescent="0.3"/>
    <row r="684" s="13" customFormat="1" ht="15.75" customHeight="1" x14ac:dyDescent="0.3"/>
    <row r="685" s="13" customFormat="1" ht="15.75" customHeight="1" x14ac:dyDescent="0.3"/>
    <row r="686" s="13" customFormat="1" ht="15.75" customHeight="1" x14ac:dyDescent="0.3"/>
    <row r="687" s="13" customFormat="1" ht="15.75" customHeight="1" x14ac:dyDescent="0.3"/>
    <row r="688" s="13" customFormat="1" ht="15.75" customHeight="1" x14ac:dyDescent="0.3"/>
    <row r="689" s="13" customFormat="1" ht="15.75" customHeight="1" x14ac:dyDescent="0.3"/>
    <row r="690" s="13" customFormat="1" ht="15.75" customHeight="1" x14ac:dyDescent="0.3"/>
    <row r="691" s="13" customFormat="1" ht="15.75" customHeight="1" x14ac:dyDescent="0.3"/>
    <row r="692" s="13" customFormat="1" ht="15.75" customHeight="1" x14ac:dyDescent="0.3"/>
    <row r="693" s="13" customFormat="1" ht="15.75" customHeight="1" x14ac:dyDescent="0.3"/>
    <row r="694" s="13" customFormat="1" ht="15.75" customHeight="1" x14ac:dyDescent="0.3"/>
    <row r="695" s="13" customFormat="1" ht="15.75" customHeight="1" x14ac:dyDescent="0.3"/>
    <row r="696" s="13" customFormat="1" ht="15.75" customHeight="1" x14ac:dyDescent="0.3"/>
    <row r="697" s="13" customFormat="1" ht="15.75" customHeight="1" x14ac:dyDescent="0.3"/>
    <row r="698" s="13" customFormat="1" ht="15.75" customHeight="1" x14ac:dyDescent="0.3"/>
    <row r="699" s="13" customFormat="1" ht="15.75" customHeight="1" x14ac:dyDescent="0.3"/>
    <row r="700" s="13" customFormat="1" ht="15.75" customHeight="1" x14ac:dyDescent="0.3"/>
    <row r="701" s="13" customFormat="1" ht="15.75" customHeight="1" x14ac:dyDescent="0.3"/>
    <row r="702" s="13" customFormat="1" ht="15.75" customHeight="1" x14ac:dyDescent="0.3"/>
    <row r="703" s="13" customFormat="1" ht="15.75" customHeight="1" x14ac:dyDescent="0.3"/>
    <row r="704" s="13" customFormat="1" ht="15.75" customHeight="1" x14ac:dyDescent="0.3"/>
    <row r="705" s="13" customFormat="1" ht="15.75" customHeight="1" x14ac:dyDescent="0.3"/>
    <row r="706" s="13" customFormat="1" ht="15.75" customHeight="1" x14ac:dyDescent="0.3"/>
    <row r="707" s="13" customFormat="1" ht="15.75" customHeight="1" x14ac:dyDescent="0.3"/>
    <row r="708" s="13" customFormat="1" ht="15.75" customHeight="1" x14ac:dyDescent="0.3"/>
    <row r="709" s="13" customFormat="1" ht="15.75" customHeight="1" x14ac:dyDescent="0.3"/>
    <row r="710" s="13" customFormat="1" ht="15.75" customHeight="1" x14ac:dyDescent="0.3"/>
    <row r="711" s="13" customFormat="1" ht="15.75" customHeight="1" x14ac:dyDescent="0.3"/>
    <row r="712" s="13" customFormat="1" ht="15.75" customHeight="1" x14ac:dyDescent="0.3"/>
    <row r="713" s="13" customFormat="1" ht="15.75" customHeight="1" x14ac:dyDescent="0.3"/>
    <row r="714" s="13" customFormat="1" ht="15.75" customHeight="1" x14ac:dyDescent="0.3"/>
    <row r="715" s="13" customFormat="1" ht="15.75" customHeight="1" x14ac:dyDescent="0.3"/>
    <row r="716" s="13" customFormat="1" ht="15.75" customHeight="1" x14ac:dyDescent="0.3"/>
    <row r="717" s="13" customFormat="1" ht="15.75" customHeight="1" x14ac:dyDescent="0.3"/>
    <row r="718" s="13" customFormat="1" ht="15.75" customHeight="1" x14ac:dyDescent="0.3"/>
    <row r="719" s="13" customFormat="1" ht="15.75" customHeight="1" x14ac:dyDescent="0.3"/>
    <row r="720" s="13" customFormat="1" ht="15.75" customHeight="1" x14ac:dyDescent="0.3"/>
    <row r="721" s="13" customFormat="1" ht="15.75" customHeight="1" x14ac:dyDescent="0.3"/>
    <row r="722" s="13" customFormat="1" ht="15.75" customHeight="1" x14ac:dyDescent="0.3"/>
    <row r="723" s="13" customFormat="1" ht="15.75" customHeight="1" x14ac:dyDescent="0.3"/>
    <row r="724" s="13" customFormat="1" ht="15.75" customHeight="1" x14ac:dyDescent="0.3"/>
    <row r="725" s="13" customFormat="1" ht="15.75" customHeight="1" x14ac:dyDescent="0.3"/>
    <row r="726" s="13" customFormat="1" ht="15.75" customHeight="1" x14ac:dyDescent="0.3"/>
    <row r="727" s="13" customFormat="1" ht="15.75" customHeight="1" x14ac:dyDescent="0.3"/>
    <row r="728" s="13" customFormat="1" ht="15.75" customHeight="1" x14ac:dyDescent="0.3"/>
    <row r="729" s="13" customFormat="1" ht="15.75" customHeight="1" x14ac:dyDescent="0.3"/>
    <row r="730" s="13" customFormat="1" ht="15.75" customHeight="1" x14ac:dyDescent="0.3"/>
    <row r="731" s="13" customFormat="1" ht="15.75" customHeight="1" x14ac:dyDescent="0.3"/>
    <row r="732" s="13" customFormat="1" ht="15.75" customHeight="1" x14ac:dyDescent="0.3"/>
    <row r="733" s="13" customFormat="1" ht="15.75" customHeight="1" x14ac:dyDescent="0.3"/>
    <row r="734" s="13" customFormat="1" ht="15.75" customHeight="1" x14ac:dyDescent="0.3"/>
    <row r="735" s="13" customFormat="1" ht="15.75" customHeight="1" x14ac:dyDescent="0.3"/>
    <row r="736" s="13" customFormat="1" ht="15.75" customHeight="1" x14ac:dyDescent="0.3"/>
    <row r="737" s="13" customFormat="1" ht="15.75" customHeight="1" x14ac:dyDescent="0.3"/>
    <row r="738" s="13" customFormat="1" ht="15.75" customHeight="1" x14ac:dyDescent="0.3"/>
    <row r="739" s="13" customFormat="1" ht="15.75" customHeight="1" x14ac:dyDescent="0.3"/>
    <row r="740" s="13" customFormat="1" ht="15.75" customHeight="1" x14ac:dyDescent="0.3"/>
    <row r="741" s="13" customFormat="1" ht="15.75" customHeight="1" x14ac:dyDescent="0.3"/>
    <row r="742" s="13" customFormat="1" ht="15.75" customHeight="1" x14ac:dyDescent="0.3"/>
    <row r="743" s="13" customFormat="1" ht="15.75" customHeight="1" x14ac:dyDescent="0.3"/>
    <row r="744" s="13" customFormat="1" ht="15.75" customHeight="1" x14ac:dyDescent="0.3"/>
    <row r="745" s="13" customFormat="1" ht="15.75" customHeight="1" x14ac:dyDescent="0.3"/>
    <row r="746" s="13" customFormat="1" ht="15.75" customHeight="1" x14ac:dyDescent="0.3"/>
    <row r="747" s="13" customFormat="1" ht="15.75" customHeight="1" x14ac:dyDescent="0.3"/>
    <row r="748" s="13" customFormat="1" ht="15.75" customHeight="1" x14ac:dyDescent="0.3"/>
    <row r="749" s="13" customFormat="1" ht="15.75" customHeight="1" x14ac:dyDescent="0.3"/>
    <row r="750" s="13" customFormat="1" ht="15.75" customHeight="1" x14ac:dyDescent="0.3"/>
    <row r="751" s="13" customFormat="1" ht="15.75" customHeight="1" x14ac:dyDescent="0.3"/>
    <row r="752" s="13" customFormat="1" ht="15.75" customHeight="1" x14ac:dyDescent="0.3"/>
    <row r="753" s="13" customFormat="1" ht="15.75" customHeight="1" x14ac:dyDescent="0.3"/>
    <row r="754" s="13" customFormat="1" ht="15.75" customHeight="1" x14ac:dyDescent="0.3"/>
    <row r="755" s="13" customFormat="1" ht="15.75" customHeight="1" x14ac:dyDescent="0.3"/>
    <row r="756" s="13" customFormat="1" ht="15.75" customHeight="1" x14ac:dyDescent="0.3"/>
    <row r="757" s="13" customFormat="1" ht="15.75" customHeight="1" x14ac:dyDescent="0.3"/>
    <row r="758" s="13" customFormat="1" ht="15.75" customHeight="1" x14ac:dyDescent="0.3"/>
    <row r="759" s="13" customFormat="1" ht="15.75" customHeight="1" x14ac:dyDescent="0.3"/>
    <row r="760" s="13" customFormat="1" ht="15.75" customHeight="1" x14ac:dyDescent="0.3"/>
    <row r="761" s="13" customFormat="1" ht="15.75" customHeight="1" x14ac:dyDescent="0.3"/>
    <row r="762" s="13" customFormat="1" ht="15.75" customHeight="1" x14ac:dyDescent="0.3"/>
    <row r="763" s="13" customFormat="1" ht="15.75" customHeight="1" x14ac:dyDescent="0.3"/>
    <row r="764" s="13" customFormat="1" ht="15.75" customHeight="1" x14ac:dyDescent="0.3"/>
    <row r="765" s="13" customFormat="1" ht="15.75" customHeight="1" x14ac:dyDescent="0.3"/>
    <row r="766" s="13" customFormat="1" ht="15.75" customHeight="1" x14ac:dyDescent="0.3"/>
    <row r="767" s="13" customFormat="1" ht="15.75" customHeight="1" x14ac:dyDescent="0.3"/>
    <row r="768" s="13" customFormat="1" ht="15.75" customHeight="1" x14ac:dyDescent="0.3"/>
    <row r="769" s="13" customFormat="1" ht="15.75" customHeight="1" x14ac:dyDescent="0.3"/>
    <row r="770" s="13" customFormat="1" ht="15.75" customHeight="1" x14ac:dyDescent="0.3"/>
    <row r="771" s="13" customFormat="1" ht="15.75" customHeight="1" x14ac:dyDescent="0.3"/>
    <row r="772" s="13" customFormat="1" ht="15.75" customHeight="1" x14ac:dyDescent="0.3"/>
    <row r="773" s="13" customFormat="1" ht="15.75" customHeight="1" x14ac:dyDescent="0.3"/>
    <row r="774" s="13" customFormat="1" ht="15.75" customHeight="1" x14ac:dyDescent="0.3"/>
    <row r="775" s="13" customFormat="1" ht="15.75" customHeight="1" x14ac:dyDescent="0.3"/>
    <row r="776" s="13" customFormat="1" ht="15.75" customHeight="1" x14ac:dyDescent="0.3"/>
    <row r="777" s="13" customFormat="1" ht="15.75" customHeight="1" x14ac:dyDescent="0.3"/>
    <row r="778" s="13" customFormat="1" ht="15.75" customHeight="1" x14ac:dyDescent="0.3"/>
    <row r="779" s="13" customFormat="1" ht="15.75" customHeight="1" x14ac:dyDescent="0.3"/>
    <row r="780" s="13" customFormat="1" ht="15.75" customHeight="1" x14ac:dyDescent="0.3"/>
    <row r="781" s="13" customFormat="1" ht="15.75" customHeight="1" x14ac:dyDescent="0.3"/>
    <row r="782" s="13" customFormat="1" ht="15.75" customHeight="1" x14ac:dyDescent="0.3"/>
    <row r="783" s="13" customFormat="1" ht="15.75" customHeight="1" x14ac:dyDescent="0.3"/>
    <row r="784" s="13" customFormat="1" ht="15.75" customHeight="1" x14ac:dyDescent="0.3"/>
    <row r="785" s="13" customFormat="1" ht="15.75" customHeight="1" x14ac:dyDescent="0.3"/>
    <row r="786" s="13" customFormat="1" ht="15.75" customHeight="1" x14ac:dyDescent="0.3"/>
    <row r="787" s="13" customFormat="1" ht="15.75" customHeight="1" x14ac:dyDescent="0.3"/>
    <row r="788" s="13" customFormat="1" ht="15.75" customHeight="1" x14ac:dyDescent="0.3"/>
    <row r="789" s="13" customFormat="1" ht="15.75" customHeight="1" x14ac:dyDescent="0.3"/>
    <row r="790" s="13" customFormat="1" ht="15.75" customHeight="1" x14ac:dyDescent="0.3"/>
    <row r="791" s="13" customFormat="1" ht="15.75" customHeight="1" x14ac:dyDescent="0.3"/>
    <row r="792" s="13" customFormat="1" ht="15.75" customHeight="1" x14ac:dyDescent="0.3"/>
    <row r="793" s="13" customFormat="1" ht="15.75" customHeight="1" x14ac:dyDescent="0.3"/>
    <row r="794" s="13" customFormat="1" ht="15.75" customHeight="1" x14ac:dyDescent="0.3"/>
    <row r="795" s="13" customFormat="1" ht="15.75" customHeight="1" x14ac:dyDescent="0.3"/>
    <row r="796" s="13" customFormat="1" ht="15.75" customHeight="1" x14ac:dyDescent="0.3"/>
    <row r="797" s="13" customFormat="1" ht="15.75" customHeight="1" x14ac:dyDescent="0.3"/>
    <row r="798" s="13" customFormat="1" ht="15.75" customHeight="1" x14ac:dyDescent="0.3"/>
    <row r="799" s="13" customFormat="1" ht="15.75" customHeight="1" x14ac:dyDescent="0.3"/>
    <row r="800" s="13" customFormat="1" ht="15.75" customHeight="1" x14ac:dyDescent="0.3"/>
    <row r="801" s="13" customFormat="1" ht="15.75" customHeight="1" x14ac:dyDescent="0.3"/>
    <row r="802" s="13" customFormat="1" ht="15.75" customHeight="1" x14ac:dyDescent="0.3"/>
    <row r="803" s="13" customFormat="1" ht="15.75" customHeight="1" x14ac:dyDescent="0.3"/>
    <row r="804" s="13" customFormat="1" ht="15.75" customHeight="1" x14ac:dyDescent="0.3"/>
    <row r="805" s="13" customFormat="1" ht="15.75" customHeight="1" x14ac:dyDescent="0.3"/>
    <row r="806" s="13" customFormat="1" ht="15.75" customHeight="1" x14ac:dyDescent="0.3"/>
    <row r="807" s="13" customFormat="1" ht="15.75" customHeight="1" x14ac:dyDescent="0.3"/>
    <row r="808" s="13" customFormat="1" ht="15.75" customHeight="1" x14ac:dyDescent="0.3"/>
    <row r="809" s="13" customFormat="1" ht="15.75" customHeight="1" x14ac:dyDescent="0.3"/>
    <row r="810" s="13" customFormat="1" ht="15.75" customHeight="1" x14ac:dyDescent="0.3"/>
    <row r="811" s="13" customFormat="1" ht="15.75" customHeight="1" x14ac:dyDescent="0.3"/>
    <row r="812" s="13" customFormat="1" ht="15.75" customHeight="1" x14ac:dyDescent="0.3"/>
    <row r="813" s="13" customFormat="1" ht="15.75" customHeight="1" x14ac:dyDescent="0.3"/>
    <row r="814" s="13" customFormat="1" ht="15.75" customHeight="1" x14ac:dyDescent="0.3"/>
    <row r="815" s="13" customFormat="1" ht="15.75" customHeight="1" x14ac:dyDescent="0.3"/>
    <row r="816" s="13" customFormat="1" ht="15.75" customHeight="1" x14ac:dyDescent="0.3"/>
    <row r="817" s="13" customFormat="1" ht="15.75" customHeight="1" x14ac:dyDescent="0.3"/>
    <row r="818" s="13" customFormat="1" ht="15.75" customHeight="1" x14ac:dyDescent="0.3"/>
    <row r="819" s="13" customFormat="1" ht="15.75" customHeight="1" x14ac:dyDescent="0.3"/>
    <row r="820" s="13" customFormat="1" ht="15.75" customHeight="1" x14ac:dyDescent="0.3"/>
    <row r="821" s="13" customFormat="1" ht="15.75" customHeight="1" x14ac:dyDescent="0.3"/>
    <row r="822" s="13" customFormat="1" ht="15.75" customHeight="1" x14ac:dyDescent="0.3"/>
    <row r="823" s="13" customFormat="1" ht="15.75" customHeight="1" x14ac:dyDescent="0.3"/>
    <row r="824" s="13" customFormat="1" ht="15.75" customHeight="1" x14ac:dyDescent="0.3"/>
    <row r="825" s="13" customFormat="1" ht="15.75" customHeight="1" x14ac:dyDescent="0.3"/>
    <row r="826" s="13" customFormat="1" ht="15.75" customHeight="1" x14ac:dyDescent="0.3"/>
    <row r="827" s="13" customFormat="1" ht="15.75" customHeight="1" x14ac:dyDescent="0.3"/>
    <row r="828" s="13" customFormat="1" ht="15.75" customHeight="1" x14ac:dyDescent="0.3"/>
    <row r="829" s="13" customFormat="1" ht="15.75" customHeight="1" x14ac:dyDescent="0.3"/>
    <row r="830" s="13" customFormat="1" ht="15.75" customHeight="1" x14ac:dyDescent="0.3"/>
    <row r="831" s="13" customFormat="1" ht="15.75" customHeight="1" x14ac:dyDescent="0.3"/>
    <row r="832" s="13" customFormat="1" ht="15.75" customHeight="1" x14ac:dyDescent="0.3"/>
    <row r="833" s="13" customFormat="1" ht="15.75" customHeight="1" x14ac:dyDescent="0.3"/>
    <row r="834" s="13" customFormat="1" ht="15.75" customHeight="1" x14ac:dyDescent="0.3"/>
    <row r="835" s="13" customFormat="1" ht="15.75" customHeight="1" x14ac:dyDescent="0.3"/>
    <row r="836" s="13" customFormat="1" ht="15.75" customHeight="1" x14ac:dyDescent="0.3"/>
    <row r="837" s="13" customFormat="1" ht="15.75" customHeight="1" x14ac:dyDescent="0.3"/>
    <row r="838" s="13" customFormat="1" ht="15.75" customHeight="1" x14ac:dyDescent="0.3"/>
    <row r="839" s="13" customFormat="1" ht="15.75" customHeight="1" x14ac:dyDescent="0.3"/>
    <row r="840" s="13" customFormat="1" ht="15.75" customHeight="1" x14ac:dyDescent="0.3"/>
    <row r="841" s="13" customFormat="1" ht="15.75" customHeight="1" x14ac:dyDescent="0.3"/>
    <row r="842" s="13" customFormat="1" ht="15.75" customHeight="1" x14ac:dyDescent="0.3"/>
    <row r="843" s="13" customFormat="1" ht="15.75" customHeight="1" x14ac:dyDescent="0.3"/>
    <row r="844" s="13" customFormat="1" ht="15.75" customHeight="1" x14ac:dyDescent="0.3"/>
    <row r="845" s="13" customFormat="1" ht="15.75" customHeight="1" x14ac:dyDescent="0.3"/>
    <row r="846" s="13" customFormat="1" ht="15.75" customHeight="1" x14ac:dyDescent="0.3"/>
    <row r="847" s="13" customFormat="1" ht="15.75" customHeight="1" x14ac:dyDescent="0.3"/>
    <row r="848" s="13" customFormat="1" ht="15.75" customHeight="1" x14ac:dyDescent="0.3"/>
    <row r="849" s="13" customFormat="1" ht="15.75" customHeight="1" x14ac:dyDescent="0.3"/>
    <row r="850" s="13" customFormat="1" ht="15.75" customHeight="1" x14ac:dyDescent="0.3"/>
    <row r="851" s="13" customFormat="1" ht="15.75" customHeight="1" x14ac:dyDescent="0.3"/>
    <row r="852" s="13" customFormat="1" ht="15.75" customHeight="1" x14ac:dyDescent="0.3"/>
    <row r="853" s="13" customFormat="1" ht="15.75" customHeight="1" x14ac:dyDescent="0.3"/>
    <row r="854" s="13" customFormat="1" ht="15.75" customHeight="1" x14ac:dyDescent="0.3"/>
    <row r="855" s="13" customFormat="1" ht="15.75" customHeight="1" x14ac:dyDescent="0.3"/>
    <row r="856" s="13" customFormat="1" ht="15.75" customHeight="1" x14ac:dyDescent="0.3"/>
    <row r="857" s="13" customFormat="1" ht="15.75" customHeight="1" x14ac:dyDescent="0.3"/>
    <row r="858" s="13" customFormat="1" ht="15.75" customHeight="1" x14ac:dyDescent="0.3"/>
    <row r="859" s="13" customFormat="1" ht="15.75" customHeight="1" x14ac:dyDescent="0.3"/>
    <row r="860" s="13" customFormat="1" ht="15.75" customHeight="1" x14ac:dyDescent="0.3"/>
    <row r="861" s="13" customFormat="1" ht="15.75" customHeight="1" x14ac:dyDescent="0.3"/>
    <row r="862" s="13" customFormat="1" ht="15.75" customHeight="1" x14ac:dyDescent="0.3"/>
    <row r="863" s="13" customFormat="1" ht="15.75" customHeight="1" x14ac:dyDescent="0.3"/>
    <row r="864" s="13" customFormat="1" ht="15.75" customHeight="1" x14ac:dyDescent="0.3"/>
    <row r="865" s="13" customFormat="1" ht="15.75" customHeight="1" x14ac:dyDescent="0.3"/>
    <row r="866" s="13" customFormat="1" ht="15.75" customHeight="1" x14ac:dyDescent="0.3"/>
    <row r="867" s="13" customFormat="1" ht="15.75" customHeight="1" x14ac:dyDescent="0.3"/>
    <row r="868" s="13" customFormat="1" ht="15.75" customHeight="1" x14ac:dyDescent="0.3"/>
    <row r="869" s="13" customFormat="1" ht="15.75" customHeight="1" x14ac:dyDescent="0.3"/>
    <row r="870" s="13" customFormat="1" ht="15.75" customHeight="1" x14ac:dyDescent="0.3"/>
    <row r="871" s="13" customFormat="1" ht="15.75" customHeight="1" x14ac:dyDescent="0.3"/>
    <row r="872" s="13" customFormat="1" ht="15.75" customHeight="1" x14ac:dyDescent="0.3"/>
    <row r="873" s="13" customFormat="1" ht="15.75" customHeight="1" x14ac:dyDescent="0.3"/>
    <row r="874" s="13" customFormat="1" ht="15.75" customHeight="1" x14ac:dyDescent="0.3"/>
    <row r="875" s="13" customFormat="1" ht="15.75" customHeight="1" x14ac:dyDescent="0.3"/>
    <row r="876" s="13" customFormat="1" ht="15.75" customHeight="1" x14ac:dyDescent="0.3"/>
    <row r="877" s="13" customFormat="1" ht="15.75" customHeight="1" x14ac:dyDescent="0.3"/>
    <row r="878" s="13" customFormat="1" ht="15.75" customHeight="1" x14ac:dyDescent="0.3"/>
    <row r="879" s="13" customFormat="1" ht="15.75" customHeight="1" x14ac:dyDescent="0.3"/>
    <row r="880" s="13" customFormat="1" ht="15.75" customHeight="1" x14ac:dyDescent="0.3"/>
    <row r="881" s="13" customFormat="1" ht="15.75" customHeight="1" x14ac:dyDescent="0.3"/>
    <row r="882" s="13" customFormat="1" ht="15.75" customHeight="1" x14ac:dyDescent="0.3"/>
    <row r="883" s="13" customFormat="1" ht="15.75" customHeight="1" x14ac:dyDescent="0.3"/>
    <row r="884" s="13" customFormat="1" ht="15.75" customHeight="1" x14ac:dyDescent="0.3"/>
    <row r="885" s="13" customFormat="1" ht="15.75" customHeight="1" x14ac:dyDescent="0.3"/>
    <row r="886" s="13" customFormat="1" ht="15.75" customHeight="1" x14ac:dyDescent="0.3"/>
    <row r="887" s="13" customFormat="1" ht="15.75" customHeight="1" x14ac:dyDescent="0.3"/>
    <row r="888" s="13" customFormat="1" ht="15.75" customHeight="1" x14ac:dyDescent="0.3"/>
    <row r="889" s="13" customFormat="1" ht="15.75" customHeight="1" x14ac:dyDescent="0.3"/>
    <row r="890" s="13" customFormat="1" ht="15.75" customHeight="1" x14ac:dyDescent="0.3"/>
    <row r="891" s="13" customFormat="1" ht="15.75" customHeight="1" x14ac:dyDescent="0.3"/>
    <row r="892" s="13" customFormat="1" ht="15.75" customHeight="1" x14ac:dyDescent="0.3"/>
    <row r="893" s="13" customFormat="1" ht="15.75" customHeight="1" x14ac:dyDescent="0.3"/>
    <row r="894" s="13" customFormat="1" ht="15.75" customHeight="1" x14ac:dyDescent="0.3"/>
    <row r="895" s="13" customFormat="1" ht="15.75" customHeight="1" x14ac:dyDescent="0.3"/>
    <row r="896" s="13" customFormat="1" ht="15.75" customHeight="1" x14ac:dyDescent="0.3"/>
    <row r="897" s="13" customFormat="1" ht="15.75" customHeight="1" x14ac:dyDescent="0.3"/>
    <row r="898" s="13" customFormat="1" ht="15.75" customHeight="1" x14ac:dyDescent="0.3"/>
    <row r="899" s="13" customFormat="1" ht="15.75" customHeight="1" x14ac:dyDescent="0.3"/>
    <row r="900" s="13" customFormat="1" ht="15.75" customHeight="1" x14ac:dyDescent="0.3"/>
    <row r="901" s="13" customFormat="1" ht="15.75" customHeight="1" x14ac:dyDescent="0.3"/>
    <row r="902" s="13" customFormat="1" ht="15.75" customHeight="1" x14ac:dyDescent="0.3"/>
    <row r="903" s="13" customFormat="1" ht="15.75" customHeight="1" x14ac:dyDescent="0.3"/>
    <row r="904" s="13" customFormat="1" ht="15.75" customHeight="1" x14ac:dyDescent="0.3"/>
    <row r="905" s="13" customFormat="1" ht="15.75" customHeight="1" x14ac:dyDescent="0.3"/>
    <row r="906" s="13" customFormat="1" ht="15.75" customHeight="1" x14ac:dyDescent="0.3"/>
    <row r="907" s="13" customFormat="1" ht="15.75" customHeight="1" x14ac:dyDescent="0.3"/>
    <row r="908" s="13" customFormat="1" ht="15.75" customHeight="1" x14ac:dyDescent="0.3"/>
    <row r="909" s="13" customFormat="1" ht="15.75" customHeight="1" x14ac:dyDescent="0.3"/>
    <row r="910" s="13" customFormat="1" ht="15.75" customHeight="1" x14ac:dyDescent="0.3"/>
    <row r="911" s="13" customFormat="1" ht="15.75" customHeight="1" x14ac:dyDescent="0.3"/>
    <row r="912" s="13" customFormat="1" ht="15.75" customHeight="1" x14ac:dyDescent="0.3"/>
    <row r="913" s="13" customFormat="1" ht="15.75" customHeight="1" x14ac:dyDescent="0.3"/>
    <row r="914" s="13" customFormat="1" ht="15.75" customHeight="1" x14ac:dyDescent="0.3"/>
    <row r="915" s="13" customFormat="1" ht="15.75" customHeight="1" x14ac:dyDescent="0.3"/>
    <row r="916" s="13" customFormat="1" ht="15.75" customHeight="1" x14ac:dyDescent="0.3"/>
    <row r="917" s="13" customFormat="1" ht="15.75" customHeight="1" x14ac:dyDescent="0.3"/>
    <row r="918" s="13" customFormat="1" ht="15.75" customHeight="1" x14ac:dyDescent="0.3"/>
    <row r="919" s="13" customFormat="1" ht="15.75" customHeight="1" x14ac:dyDescent="0.3"/>
    <row r="920" s="13" customFormat="1" ht="15.75" customHeight="1" x14ac:dyDescent="0.3"/>
    <row r="921" s="13" customFormat="1" ht="15.75" customHeight="1" x14ac:dyDescent="0.3"/>
    <row r="922" s="13" customFormat="1" ht="15.75" customHeight="1" x14ac:dyDescent="0.3"/>
    <row r="923" s="13" customFormat="1" ht="15.75" customHeight="1" x14ac:dyDescent="0.3"/>
    <row r="924" s="13" customFormat="1" ht="15.75" customHeight="1" x14ac:dyDescent="0.3"/>
    <row r="925" s="13" customFormat="1" ht="15.75" customHeight="1" x14ac:dyDescent="0.3"/>
    <row r="926" s="13" customFormat="1" ht="15.75" customHeight="1" x14ac:dyDescent="0.3"/>
    <row r="927" s="13" customFormat="1" ht="15.75" customHeight="1" x14ac:dyDescent="0.3"/>
    <row r="928" s="13" customFormat="1" ht="15.75" customHeight="1" x14ac:dyDescent="0.3"/>
    <row r="929" s="13" customFormat="1" ht="15.75" customHeight="1" x14ac:dyDescent="0.3"/>
    <row r="930" s="13" customFormat="1" ht="15.75" customHeight="1" x14ac:dyDescent="0.3"/>
    <row r="931" s="13" customFormat="1" ht="15.75" customHeight="1" x14ac:dyDescent="0.3"/>
    <row r="932" s="13" customFormat="1" ht="15.75" customHeight="1" x14ac:dyDescent="0.3"/>
    <row r="933" s="13" customFormat="1" ht="15.75" customHeight="1" x14ac:dyDescent="0.3"/>
    <row r="934" s="13" customFormat="1" ht="15.75" customHeight="1" x14ac:dyDescent="0.3"/>
    <row r="935" s="13" customFormat="1" ht="15.75" customHeight="1" x14ac:dyDescent="0.3"/>
    <row r="936" s="13" customFormat="1" ht="15.75" customHeight="1" x14ac:dyDescent="0.3"/>
    <row r="937" s="13" customFormat="1" ht="15.75" customHeight="1" x14ac:dyDescent="0.3"/>
    <row r="938" s="13" customFormat="1" ht="15.75" customHeight="1" x14ac:dyDescent="0.3"/>
    <row r="939" s="13" customFormat="1" ht="15.75" customHeight="1" x14ac:dyDescent="0.3"/>
    <row r="940" s="13" customFormat="1" ht="15.75" customHeight="1" x14ac:dyDescent="0.3"/>
    <row r="941" s="13" customFormat="1" ht="15.75" customHeight="1" x14ac:dyDescent="0.3"/>
    <row r="942" s="13" customFormat="1" ht="15.75" customHeight="1" x14ac:dyDescent="0.3"/>
    <row r="943" s="13" customFormat="1" ht="15.75" customHeight="1" x14ac:dyDescent="0.3"/>
    <row r="944" s="13" customFormat="1" ht="15.75" customHeight="1" x14ac:dyDescent="0.3"/>
    <row r="945" s="13" customFormat="1" ht="15.75" customHeight="1" x14ac:dyDescent="0.3"/>
    <row r="946" s="13" customFormat="1" ht="15.75" customHeight="1" x14ac:dyDescent="0.3"/>
    <row r="947" s="13" customFormat="1" ht="15.75" customHeight="1" x14ac:dyDescent="0.3"/>
    <row r="948" s="13" customFormat="1" ht="15.75" customHeight="1" x14ac:dyDescent="0.3"/>
    <row r="949" s="13" customFormat="1" ht="15.75" customHeight="1" x14ac:dyDescent="0.3"/>
    <row r="950" s="13" customFormat="1" ht="15.75" customHeight="1" x14ac:dyDescent="0.3"/>
    <row r="951" s="13" customFormat="1" ht="15.75" customHeight="1" x14ac:dyDescent="0.3"/>
    <row r="952" s="13" customFormat="1" ht="15.75" customHeight="1" x14ac:dyDescent="0.3"/>
    <row r="953" s="13" customFormat="1" ht="15.75" customHeight="1" x14ac:dyDescent="0.3"/>
    <row r="954" s="13" customFormat="1" ht="15.75" customHeight="1" x14ac:dyDescent="0.3"/>
    <row r="955" s="13" customFormat="1" ht="15.75" customHeight="1" x14ac:dyDescent="0.3"/>
    <row r="956" s="13" customFormat="1" ht="15.75" customHeight="1" x14ac:dyDescent="0.3"/>
    <row r="957" s="13" customFormat="1" ht="15.75" customHeight="1" x14ac:dyDescent="0.3"/>
    <row r="958" s="13" customFormat="1" ht="15.75" customHeight="1" x14ac:dyDescent="0.3"/>
    <row r="959" s="13" customFormat="1" ht="15.75" customHeight="1" x14ac:dyDescent="0.3"/>
    <row r="960" s="13" customFormat="1" ht="15.75" customHeight="1" x14ac:dyDescent="0.3"/>
    <row r="961" s="13" customFormat="1" ht="15.75" customHeight="1" x14ac:dyDescent="0.3"/>
    <row r="962" s="13" customFormat="1" ht="15.75" customHeight="1" x14ac:dyDescent="0.3"/>
    <row r="963" s="13" customFormat="1" ht="15.75" customHeight="1" x14ac:dyDescent="0.3"/>
    <row r="964" s="13" customFormat="1" ht="15.75" customHeight="1" x14ac:dyDescent="0.3"/>
    <row r="965" s="13" customFormat="1" ht="15.75" customHeight="1" x14ac:dyDescent="0.3"/>
    <row r="966" s="13" customFormat="1" ht="15.75" customHeight="1" x14ac:dyDescent="0.3"/>
    <row r="967" s="13" customFormat="1" ht="15.75" customHeight="1" x14ac:dyDescent="0.3"/>
    <row r="968" s="13" customFormat="1" ht="15.75" customHeight="1" x14ac:dyDescent="0.3"/>
    <row r="969" s="13" customFormat="1" ht="15.75" customHeight="1" x14ac:dyDescent="0.3"/>
    <row r="970" s="13" customFormat="1" ht="15.75" customHeight="1" x14ac:dyDescent="0.3"/>
    <row r="971" s="13" customFormat="1" ht="15.75" customHeight="1" x14ac:dyDescent="0.3"/>
    <row r="972" s="13" customFormat="1" ht="15.75" customHeight="1" x14ac:dyDescent="0.3"/>
    <row r="973" s="13" customFormat="1" ht="15.75" customHeight="1" x14ac:dyDescent="0.3"/>
    <row r="974" s="13" customFormat="1" ht="15.75" customHeight="1" x14ac:dyDescent="0.3"/>
    <row r="975" s="13" customFormat="1" ht="15.75" customHeight="1" x14ac:dyDescent="0.3"/>
    <row r="976" s="13" customFormat="1" ht="15.75" customHeight="1" x14ac:dyDescent="0.3"/>
    <row r="977" s="13" customFormat="1" ht="15.75" customHeight="1" x14ac:dyDescent="0.3"/>
    <row r="978" s="13" customFormat="1" ht="15.75" customHeight="1" x14ac:dyDescent="0.3"/>
    <row r="979" s="13" customFormat="1" ht="15.75" customHeight="1" x14ac:dyDescent="0.3"/>
    <row r="980" s="13" customFormat="1" ht="15.75" customHeight="1" x14ac:dyDescent="0.3"/>
    <row r="981" s="13" customFormat="1" ht="15.75" customHeight="1" x14ac:dyDescent="0.3"/>
    <row r="982" s="13" customFormat="1" ht="15.75" customHeight="1" x14ac:dyDescent="0.3"/>
    <row r="983" s="13" customFormat="1" ht="15.75" customHeight="1" x14ac:dyDescent="0.3"/>
    <row r="984" s="13" customFormat="1" ht="15.75" customHeight="1" x14ac:dyDescent="0.3"/>
    <row r="985" s="13" customFormat="1" ht="15.75" customHeight="1" x14ac:dyDescent="0.3"/>
    <row r="986" s="13" customFormat="1" ht="15.75" customHeight="1" x14ac:dyDescent="0.3"/>
    <row r="987" s="13" customFormat="1" ht="15.75" customHeight="1" x14ac:dyDescent="0.3"/>
    <row r="988" s="13" customFormat="1" ht="15.75" customHeight="1" x14ac:dyDescent="0.3"/>
    <row r="989" s="13" customFormat="1" ht="15.75" customHeight="1" x14ac:dyDescent="0.3"/>
    <row r="990" s="13" customFormat="1" ht="15.75" customHeight="1" x14ac:dyDescent="0.3"/>
    <row r="991" s="13" customFormat="1" ht="15.75" customHeight="1" x14ac:dyDescent="0.3"/>
    <row r="992" s="13" customFormat="1" ht="15.75" customHeight="1" x14ac:dyDescent="0.3"/>
    <row r="993" s="13" customFormat="1" ht="15.75" customHeight="1" x14ac:dyDescent="0.3"/>
    <row r="994" s="13" customFormat="1" ht="15.75" customHeight="1" x14ac:dyDescent="0.3"/>
    <row r="995" s="13" customFormat="1" ht="15.75" customHeight="1" x14ac:dyDescent="0.3"/>
    <row r="996" s="13" customFormat="1" ht="15.75" customHeight="1" x14ac:dyDescent="0.3"/>
    <row r="997" s="13" customFormat="1" ht="15.75" customHeight="1" x14ac:dyDescent="0.3"/>
    <row r="998" s="13" customFormat="1" ht="15.75" customHeight="1" x14ac:dyDescent="0.3"/>
    <row r="999" s="13" customFormat="1" ht="15.75" customHeight="1" x14ac:dyDescent="0.3"/>
    <row r="1000" s="13" customFormat="1" ht="15.75" customHeight="1" x14ac:dyDescent="0.3"/>
  </sheetData>
  <mergeCells count="2">
    <mergeCell ref="N4:P4"/>
    <mergeCell ref="N17:P17"/>
  </mergeCells>
  <conditionalFormatting sqref="J2:J201">
    <cfRule type="top10" dxfId="2" priority="2" rank="10"/>
    <cfRule type="top10" dxfId="1" priority="3" rank="10"/>
  </conditionalFormatting>
  <conditionalFormatting sqref="P19:P31">
    <cfRule type="iconSet" priority="1">
      <iconSet iconSet="3Arrows">
        <cfvo type="percent" val="0"/>
        <cfvo type="percent" val="33"/>
        <cfvo type="percent" val="67"/>
      </iconSet>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EB21-6E10-4ED3-825D-466A85CB785F}">
  <dimension ref="D4:L21"/>
  <sheetViews>
    <sheetView zoomScale="97" workbookViewId="0">
      <selection activeCell="K16" sqref="K16"/>
    </sheetView>
  </sheetViews>
  <sheetFormatPr defaultRowHeight="14.4" x14ac:dyDescent="0.3"/>
  <cols>
    <col min="1" max="1" width="18" bestFit="1" customWidth="1"/>
    <col min="2" max="2" width="12.33203125" bestFit="1" customWidth="1"/>
    <col min="3" max="3" width="13.88671875" bestFit="1" customWidth="1"/>
    <col min="4" max="4" width="18" bestFit="1" customWidth="1"/>
    <col min="5" max="5" width="12.33203125" bestFit="1" customWidth="1"/>
    <col min="6" max="6" width="13.88671875" bestFit="1" customWidth="1"/>
    <col min="7" max="7" width="13" bestFit="1" customWidth="1"/>
    <col min="8" max="8" width="12.33203125" bestFit="1" customWidth="1"/>
    <col min="9" max="9" width="13" bestFit="1" customWidth="1"/>
    <col min="10" max="10" width="12.33203125" bestFit="1" customWidth="1"/>
    <col min="11" max="11" width="13" bestFit="1" customWidth="1"/>
    <col min="12" max="12" width="12.44140625" bestFit="1" customWidth="1"/>
  </cols>
  <sheetData>
    <row r="4" spans="4:9" x14ac:dyDescent="0.3">
      <c r="D4" s="6" t="s">
        <v>80</v>
      </c>
    </row>
    <row r="5" spans="4:9" ht="15" thickBot="1" x14ac:dyDescent="0.35"/>
    <row r="6" spans="4:9" ht="15" thickBot="1" x14ac:dyDescent="0.35">
      <c r="D6" s="31" t="s">
        <v>81</v>
      </c>
      <c r="E6" s="31"/>
    </row>
    <row r="7" spans="4:9" ht="15" thickBot="1" x14ac:dyDescent="0.35">
      <c r="D7" s="32" t="s">
        <v>82</v>
      </c>
      <c r="E7" s="32">
        <v>0.77340306414342619</v>
      </c>
    </row>
    <row r="8" spans="4:9" ht="15" thickBot="1" x14ac:dyDescent="0.35">
      <c r="D8" s="32" t="s">
        <v>83</v>
      </c>
      <c r="E8" s="32">
        <v>0.59815229962644056</v>
      </c>
    </row>
    <row r="9" spans="4:9" ht="15" thickBot="1" x14ac:dyDescent="0.35">
      <c r="D9" s="32" t="s">
        <v>84</v>
      </c>
      <c r="E9" s="32">
        <v>0.59612276578617007</v>
      </c>
    </row>
    <row r="10" spans="4:9" ht="15" thickBot="1" x14ac:dyDescent="0.35">
      <c r="D10" s="32" t="s">
        <v>85</v>
      </c>
      <c r="E10" s="32">
        <v>86.281230529665166</v>
      </c>
    </row>
    <row r="11" spans="4:9" ht="15" thickBot="1" x14ac:dyDescent="0.35">
      <c r="D11" s="32" t="s">
        <v>86</v>
      </c>
      <c r="E11" s="32">
        <v>200</v>
      </c>
    </row>
    <row r="13" spans="4:9" ht="15" thickBot="1" x14ac:dyDescent="0.35">
      <c r="D13" t="s">
        <v>87</v>
      </c>
    </row>
    <row r="14" spans="4:9" ht="15" thickBot="1" x14ac:dyDescent="0.35">
      <c r="D14" s="33"/>
      <c r="E14" s="33" t="s">
        <v>92</v>
      </c>
      <c r="F14" s="33" t="s">
        <v>93</v>
      </c>
      <c r="G14" s="33" t="s">
        <v>94</v>
      </c>
      <c r="H14" s="33" t="s">
        <v>95</v>
      </c>
      <c r="I14" s="33" t="s">
        <v>96</v>
      </c>
    </row>
    <row r="15" spans="4:9" ht="15" thickBot="1" x14ac:dyDescent="0.35">
      <c r="D15" s="32" t="s">
        <v>88</v>
      </c>
      <c r="E15" s="32">
        <v>1</v>
      </c>
      <c r="F15" s="32">
        <v>2194058.1833402822</v>
      </c>
      <c r="G15" s="32">
        <v>2194058.1833402822</v>
      </c>
      <c r="H15" s="32">
        <v>294.72398427548114</v>
      </c>
      <c r="I15" s="32">
        <v>4.6269367558910499E-41</v>
      </c>
    </row>
    <row r="16" spans="4:9" ht="15" thickBot="1" x14ac:dyDescent="0.35">
      <c r="D16" s="32" t="s">
        <v>89</v>
      </c>
      <c r="E16" s="32">
        <v>198</v>
      </c>
      <c r="F16" s="32">
        <v>1474001.2468592182</v>
      </c>
      <c r="G16" s="32">
        <v>7444.4507417132236</v>
      </c>
      <c r="H16" s="32"/>
      <c r="I16" s="32"/>
    </row>
    <row r="17" spans="4:12" ht="15" thickBot="1" x14ac:dyDescent="0.35">
      <c r="D17" s="32" t="s">
        <v>90</v>
      </c>
      <c r="E17" s="32">
        <v>199</v>
      </c>
      <c r="F17" s="32">
        <v>3668059.4301995002</v>
      </c>
      <c r="G17" s="32"/>
      <c r="H17" s="32"/>
      <c r="I17" s="32"/>
    </row>
    <row r="18" spans="4:12" ht="15" thickBot="1" x14ac:dyDescent="0.35"/>
    <row r="19" spans="4:12" ht="15" thickBot="1" x14ac:dyDescent="0.35">
      <c r="D19" s="33"/>
      <c r="E19" s="33" t="s">
        <v>97</v>
      </c>
      <c r="F19" s="33" t="s">
        <v>85</v>
      </c>
      <c r="G19" s="33" t="s">
        <v>98</v>
      </c>
      <c r="H19" s="33" t="s">
        <v>99</v>
      </c>
      <c r="I19" s="33" t="s">
        <v>100</v>
      </c>
      <c r="J19" s="33" t="s">
        <v>101</v>
      </c>
      <c r="K19" s="33" t="s">
        <v>102</v>
      </c>
      <c r="L19" s="33" t="s">
        <v>103</v>
      </c>
    </row>
    <row r="20" spans="4:12" ht="15" thickBot="1" x14ac:dyDescent="0.35">
      <c r="D20" s="32" t="s">
        <v>91</v>
      </c>
      <c r="E20" s="32">
        <v>-1.0315504901911368</v>
      </c>
      <c r="F20" s="32">
        <v>20.860617005445505</v>
      </c>
      <c r="G20" s="32">
        <v>-4.9449663445805959E-2</v>
      </c>
      <c r="H20" s="32">
        <v>0.96061079696907459</v>
      </c>
      <c r="I20" s="32">
        <v>-42.169051823378965</v>
      </c>
      <c r="J20" s="32">
        <v>40.105950842996691</v>
      </c>
      <c r="K20" s="32">
        <v>-42.169051823378965</v>
      </c>
      <c r="L20" s="32">
        <v>40.105950842996691</v>
      </c>
    </row>
    <row r="21" spans="4:12" ht="15" thickBot="1" x14ac:dyDescent="0.35">
      <c r="D21" s="32" t="s">
        <v>104</v>
      </c>
      <c r="E21" s="32">
        <v>0.35085598819512254</v>
      </c>
      <c r="F21" s="32">
        <v>2.0437188630135626E-2</v>
      </c>
      <c r="G21" s="32">
        <v>17.167527028535048</v>
      </c>
      <c r="H21" s="32">
        <v>4.6269367558907868E-41</v>
      </c>
      <c r="I21" s="32">
        <v>0.31055349501865764</v>
      </c>
      <c r="J21" s="32">
        <v>0.39115848137158743</v>
      </c>
      <c r="K21" s="32">
        <v>0.31055349501865764</v>
      </c>
      <c r="L21" s="32">
        <v>0.39115848137158743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DAA1-370C-4CFF-A6D1-827A2F5C8CFE}">
  <dimension ref="C2:D16"/>
  <sheetViews>
    <sheetView workbookViewId="0">
      <selection activeCell="D4" sqref="D4"/>
    </sheetView>
  </sheetViews>
  <sheetFormatPr defaultRowHeight="14.4" x14ac:dyDescent="0.3"/>
  <cols>
    <col min="1" max="1" width="16.5546875" bestFit="1" customWidth="1"/>
    <col min="2" max="2" width="12.6640625" bestFit="1" customWidth="1"/>
    <col min="3" max="3" width="16.5546875" bestFit="1" customWidth="1"/>
    <col min="4" max="4" width="12.6640625" bestFit="1" customWidth="1"/>
  </cols>
  <sheetData>
    <row r="2" spans="3:4" x14ac:dyDescent="0.3">
      <c r="C2" s="7" t="s">
        <v>6</v>
      </c>
      <c r="D2" s="8"/>
    </row>
    <row r="3" spans="3:4" x14ac:dyDescent="0.3">
      <c r="C3" s="3"/>
      <c r="D3" s="3"/>
    </row>
    <row r="4" spans="3:4" x14ac:dyDescent="0.3">
      <c r="C4" s="9" t="s">
        <v>105</v>
      </c>
      <c r="D4" s="9">
        <v>976.08879999999965</v>
      </c>
    </row>
    <row r="5" spans="3:4" x14ac:dyDescent="0.3">
      <c r="C5" s="9" t="s">
        <v>85</v>
      </c>
      <c r="D5" s="9">
        <v>21.161850448978406</v>
      </c>
    </row>
    <row r="6" spans="3:4" x14ac:dyDescent="0.3">
      <c r="C6" s="9" t="s">
        <v>106</v>
      </c>
      <c r="D6" s="9">
        <v>976.72</v>
      </c>
    </row>
    <row r="7" spans="3:4" x14ac:dyDescent="0.3">
      <c r="C7" s="9" t="s">
        <v>107</v>
      </c>
      <c r="D7" s="9" t="e">
        <v>#N/A</v>
      </c>
    </row>
    <row r="8" spans="3:4" x14ac:dyDescent="0.3">
      <c r="C8" s="9" t="s">
        <v>108</v>
      </c>
      <c r="D8" s="9">
        <v>299.27375909856431</v>
      </c>
    </row>
    <row r="9" spans="3:4" x14ac:dyDescent="0.3">
      <c r="C9" s="9" t="s">
        <v>109</v>
      </c>
      <c r="D9" s="9">
        <v>89564.782884985514</v>
      </c>
    </row>
    <row r="10" spans="3:4" x14ac:dyDescent="0.3">
      <c r="C10" s="9" t="s">
        <v>110</v>
      </c>
      <c r="D10" s="9">
        <v>-8.8595231919740502E-2</v>
      </c>
    </row>
    <row r="11" spans="3:4" x14ac:dyDescent="0.3">
      <c r="C11" s="9" t="s">
        <v>111</v>
      </c>
      <c r="D11" s="9">
        <v>0.14685796564193557</v>
      </c>
    </row>
    <row r="12" spans="3:4" x14ac:dyDescent="0.3">
      <c r="C12" s="9" t="s">
        <v>112</v>
      </c>
      <c r="D12" s="9">
        <v>1665.15</v>
      </c>
    </row>
    <row r="13" spans="3:4" x14ac:dyDescent="0.3">
      <c r="C13" s="9" t="s">
        <v>113</v>
      </c>
      <c r="D13" s="9">
        <v>258.51</v>
      </c>
    </row>
    <row r="14" spans="3:4" x14ac:dyDescent="0.3">
      <c r="C14" s="9" t="s">
        <v>114</v>
      </c>
      <c r="D14" s="9">
        <v>1923.66</v>
      </c>
    </row>
    <row r="15" spans="3:4" x14ac:dyDescent="0.3">
      <c r="C15" s="9" t="s">
        <v>115</v>
      </c>
      <c r="D15" s="9">
        <v>195217.75999999992</v>
      </c>
    </row>
    <row r="16" spans="3:4" x14ac:dyDescent="0.3">
      <c r="C16" s="9" t="s">
        <v>116</v>
      </c>
      <c r="D16" s="9">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D4AD3-2497-4D9A-9531-3681294207A3}">
  <dimension ref="C2:D8"/>
  <sheetViews>
    <sheetView workbookViewId="0">
      <selection activeCell="F26" sqref="F26"/>
    </sheetView>
  </sheetViews>
  <sheetFormatPr defaultRowHeight="14.4" x14ac:dyDescent="0.3"/>
  <cols>
    <col min="1" max="1" width="12.5546875" bestFit="1" customWidth="1"/>
    <col min="2" max="2" width="20" bestFit="1" customWidth="1"/>
    <col min="3" max="3" width="12.5546875" bestFit="1" customWidth="1"/>
    <col min="4" max="4" width="20" bestFit="1" customWidth="1"/>
  </cols>
  <sheetData>
    <row r="2" spans="3:4" x14ac:dyDescent="0.3">
      <c r="C2" s="16" t="s">
        <v>135</v>
      </c>
      <c r="D2" t="s">
        <v>137</v>
      </c>
    </row>
    <row r="3" spans="3:4" x14ac:dyDescent="0.3">
      <c r="C3" s="17" t="s">
        <v>36</v>
      </c>
      <c r="D3" s="39">
        <v>168475.43000000002</v>
      </c>
    </row>
    <row r="4" spans="3:4" x14ac:dyDescent="0.3">
      <c r="C4" s="17" t="s">
        <v>20</v>
      </c>
      <c r="D4" s="39">
        <v>227849.36</v>
      </c>
    </row>
    <row r="5" spans="3:4" x14ac:dyDescent="0.3">
      <c r="C5" s="17" t="s">
        <v>26</v>
      </c>
      <c r="D5" s="39">
        <v>168274.52000000002</v>
      </c>
    </row>
    <row r="6" spans="3:4" x14ac:dyDescent="0.3">
      <c r="C6" s="17" t="s">
        <v>22</v>
      </c>
      <c r="D6" s="39">
        <v>212285.78999999998</v>
      </c>
    </row>
    <row r="7" spans="3:4" x14ac:dyDescent="0.3">
      <c r="C7" s="17" t="s">
        <v>13</v>
      </c>
      <c r="D7" s="39">
        <v>278458.60000000003</v>
      </c>
    </row>
    <row r="8" spans="3:4" x14ac:dyDescent="0.3">
      <c r="C8" s="17" t="s">
        <v>136</v>
      </c>
      <c r="D8" s="39">
        <v>1055343.7000000002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93EC-CAEB-422C-9B29-BD9A04E68171}">
  <dimension ref="D2:E6"/>
  <sheetViews>
    <sheetView workbookViewId="0">
      <selection activeCell="H25" sqref="H25"/>
    </sheetView>
  </sheetViews>
  <sheetFormatPr defaultRowHeight="14.4" x14ac:dyDescent="0.3"/>
  <cols>
    <col min="1" max="1" width="13.109375" bestFit="1" customWidth="1"/>
    <col min="2" max="2" width="20" bestFit="1" customWidth="1"/>
    <col min="4" max="4" width="13.109375" bestFit="1" customWidth="1"/>
    <col min="5" max="5" width="20" bestFit="1" customWidth="1"/>
  </cols>
  <sheetData>
    <row r="2" spans="4:5" x14ac:dyDescent="0.3">
      <c r="D2" s="16" t="s">
        <v>135</v>
      </c>
      <c r="E2" t="s">
        <v>137</v>
      </c>
    </row>
    <row r="3" spans="4:5" x14ac:dyDescent="0.3">
      <c r="D3" s="17" t="s">
        <v>23</v>
      </c>
      <c r="E3" s="39">
        <v>407748.73999999987</v>
      </c>
    </row>
    <row r="4" spans="4:5" x14ac:dyDescent="0.3">
      <c r="D4" s="17" t="s">
        <v>29</v>
      </c>
      <c r="E4" s="39">
        <v>356940.18999999989</v>
      </c>
    </row>
    <row r="5" spans="4:5" x14ac:dyDescent="0.3">
      <c r="D5" s="17" t="s">
        <v>41</v>
      </c>
      <c r="E5" s="39">
        <v>290654.77</v>
      </c>
    </row>
    <row r="6" spans="4:5" x14ac:dyDescent="0.3">
      <c r="D6" s="17" t="s">
        <v>136</v>
      </c>
      <c r="E6" s="39">
        <v>1055343.6999999997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19BD-611F-43EB-924E-84DD345EC0D3}">
  <dimension ref="D2:F20"/>
  <sheetViews>
    <sheetView workbookViewId="0">
      <selection activeCell="F24" sqref="F24"/>
    </sheetView>
  </sheetViews>
  <sheetFormatPr defaultRowHeight="14.4" x14ac:dyDescent="0.3"/>
  <cols>
    <col min="1" max="1" width="12.5546875" bestFit="1" customWidth="1"/>
    <col min="2" max="2" width="20" bestFit="1" customWidth="1"/>
    <col min="4" max="4" width="12.5546875" bestFit="1" customWidth="1"/>
    <col min="5" max="5" width="20" bestFit="1" customWidth="1"/>
    <col min="6" max="6" width="12.88671875" bestFit="1" customWidth="1"/>
  </cols>
  <sheetData>
    <row r="2" spans="4:5" x14ac:dyDescent="0.3">
      <c r="D2" s="16" t="s">
        <v>135</v>
      </c>
      <c r="E2" t="s">
        <v>137</v>
      </c>
    </row>
    <row r="3" spans="4:5" x14ac:dyDescent="0.3">
      <c r="D3" s="17" t="s">
        <v>138</v>
      </c>
      <c r="E3" s="39">
        <v>868956.78</v>
      </c>
    </row>
    <row r="4" spans="4:5" x14ac:dyDescent="0.3">
      <c r="D4" s="18" t="s">
        <v>140</v>
      </c>
      <c r="E4" s="39">
        <v>77084.97</v>
      </c>
    </row>
    <row r="5" spans="4:5" x14ac:dyDescent="0.3">
      <c r="D5" s="18" t="s">
        <v>141</v>
      </c>
      <c r="E5" s="39">
        <v>144490.81000000003</v>
      </c>
    </row>
    <row r="6" spans="4:5" x14ac:dyDescent="0.3">
      <c r="D6" s="18" t="s">
        <v>142</v>
      </c>
      <c r="E6" s="39">
        <v>107232.65999999997</v>
      </c>
    </row>
    <row r="7" spans="4:5" x14ac:dyDescent="0.3">
      <c r="D7" s="18" t="s">
        <v>143</v>
      </c>
      <c r="E7" s="39">
        <v>96524.819999999992</v>
      </c>
    </row>
    <row r="8" spans="4:5" x14ac:dyDescent="0.3">
      <c r="D8" s="18" t="s">
        <v>144</v>
      </c>
      <c r="E8" s="39">
        <v>59284.37999999999</v>
      </c>
    </row>
    <row r="9" spans="4:5" x14ac:dyDescent="0.3">
      <c r="D9" s="18" t="s">
        <v>145</v>
      </c>
      <c r="E9" s="39">
        <v>131251.10999999999</v>
      </c>
    </row>
    <row r="10" spans="4:5" x14ac:dyDescent="0.3">
      <c r="D10" s="18" t="s">
        <v>146</v>
      </c>
      <c r="E10" s="39">
        <v>51502.499999999993</v>
      </c>
    </row>
    <row r="11" spans="4:5" x14ac:dyDescent="0.3">
      <c r="D11" s="18" t="s">
        <v>147</v>
      </c>
      <c r="E11" s="39">
        <v>112807.54999999999</v>
      </c>
    </row>
    <row r="12" spans="4:5" x14ac:dyDescent="0.3">
      <c r="D12" s="18" t="s">
        <v>148</v>
      </c>
      <c r="E12" s="39">
        <v>88777.98000000001</v>
      </c>
    </row>
    <row r="13" spans="4:5" x14ac:dyDescent="0.3">
      <c r="D13" s="17" t="s">
        <v>139</v>
      </c>
      <c r="E13" s="39">
        <v>186386.92</v>
      </c>
    </row>
    <row r="14" spans="4:5" x14ac:dyDescent="0.3">
      <c r="D14" s="18" t="s">
        <v>149</v>
      </c>
      <c r="E14" s="39">
        <v>52040.520000000004</v>
      </c>
    </row>
    <row r="15" spans="4:5" x14ac:dyDescent="0.3">
      <c r="D15" s="18" t="s">
        <v>150</v>
      </c>
      <c r="E15" s="39">
        <v>62672.51</v>
      </c>
    </row>
    <row r="16" spans="4:5" x14ac:dyDescent="0.3">
      <c r="D16" s="18" t="s">
        <v>151</v>
      </c>
      <c r="E16" s="39">
        <v>60179.01</v>
      </c>
    </row>
    <row r="17" spans="4:6" x14ac:dyDescent="0.3">
      <c r="D17" s="18" t="s">
        <v>140</v>
      </c>
      <c r="E17" s="39">
        <v>11494.880000000001</v>
      </c>
    </row>
    <row r="18" spans="4:6" x14ac:dyDescent="0.3">
      <c r="D18" s="17" t="s">
        <v>136</v>
      </c>
      <c r="E18" s="39">
        <v>1055343.7</v>
      </c>
    </row>
    <row r="20" spans="4:6" x14ac:dyDescent="0.3">
      <c r="E20" s="20" t="s">
        <v>136</v>
      </c>
      <c r="F20" s="21">
        <f>GETPIVOTDATA("Total Purchase",$D$2)</f>
        <v>1055343.7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F92D9-7BD9-47CF-B6E2-5F326FF8E7B7}">
  <sheetPr>
    <tabColor rgb="FF92D050"/>
  </sheetPr>
  <dimension ref="A1"/>
  <sheetViews>
    <sheetView showGridLines="0" showRowColHeaders="0" tabSelected="1" zoomScaleNormal="100" workbookViewId="0">
      <selection activeCell="S16" sqref="S16"/>
    </sheetView>
  </sheetViews>
  <sheetFormatPr defaultRowHeight="14.4" x14ac:dyDescent="0.3"/>
  <cols>
    <col min="1" max="16384" width="8.88671875" style="3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 Instructions</vt:lpstr>
      <vt:lpstr>Dataset</vt:lpstr>
      <vt:lpstr>Regression</vt:lpstr>
      <vt:lpstr>Descriptive Statistics</vt:lpstr>
      <vt:lpstr>Region</vt:lpstr>
      <vt:lpstr>Product</vt:lpstr>
      <vt:lpstr>Date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 PATEL</dc:creator>
  <cp:lastModifiedBy>Tirth Mevada</cp:lastModifiedBy>
  <dcterms:created xsi:type="dcterms:W3CDTF">2025-12-13T08:47:25Z</dcterms:created>
  <dcterms:modified xsi:type="dcterms:W3CDTF">2025-12-16T04:00:50Z</dcterms:modified>
</cp:coreProperties>
</file>